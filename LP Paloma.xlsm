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E - R\RYTRT\"/>
    </mc:Choice>
  </mc:AlternateContent>
  <xr:revisionPtr revIDLastSave="0" documentId="8_{8057DD36-0BDC-4E4D-9C2E-C4712BA41A60}" xr6:coauthVersionLast="47" xr6:coauthVersionMax="47" xr10:uidLastSave="{00000000-0000-0000-0000-000000000000}"/>
  <bookViews>
    <workbookView xWindow="-120" yWindow="-120" windowWidth="20730" windowHeight="11040" xr2:uid="{0151956A-8D3B-4D67-929C-D1A063447867}"/>
  </bookViews>
  <sheets>
    <sheet name="Hoja1" sheetId="1" r:id="rId1"/>
  </sheets>
  <definedNames>
    <definedName name="_xlnm._FilterDatabase" localSheetId="0" hidden="1">Hoja1!$A$3:$F$145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5" i="1" l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4" i="1"/>
  <c r="C5" i="1"/>
  <c r="E145" i="1"/>
  <c r="D145" i="1"/>
  <c r="E144" i="1"/>
  <c r="F144" i="1" s="1"/>
  <c r="D144" i="1"/>
  <c r="E143" i="1"/>
  <c r="D143" i="1"/>
  <c r="E142" i="1"/>
  <c r="F142" i="1" s="1"/>
  <c r="D142" i="1"/>
  <c r="E141" i="1"/>
  <c r="D141" i="1"/>
  <c r="E140" i="1"/>
  <c r="D140" i="1"/>
  <c r="F140" i="1" s="1"/>
  <c r="E139" i="1"/>
  <c r="D139" i="1"/>
  <c r="E138" i="1"/>
  <c r="D138" i="1"/>
  <c r="E137" i="1"/>
  <c r="D137" i="1"/>
  <c r="E136" i="1"/>
  <c r="D136" i="1"/>
  <c r="E135" i="1"/>
  <c r="F135" i="1" s="1"/>
  <c r="D135" i="1"/>
  <c r="E134" i="1"/>
  <c r="D134" i="1"/>
  <c r="E133" i="1"/>
  <c r="F133" i="1" s="1"/>
  <c r="D133" i="1"/>
  <c r="E132" i="1"/>
  <c r="D132" i="1"/>
  <c r="E131" i="1"/>
  <c r="F131" i="1" s="1"/>
  <c r="D131" i="1"/>
  <c r="E130" i="1"/>
  <c r="D130" i="1"/>
  <c r="E129" i="1"/>
  <c r="F129" i="1" s="1"/>
  <c r="D129" i="1"/>
  <c r="E128" i="1"/>
  <c r="D128" i="1"/>
  <c r="E127" i="1"/>
  <c r="D127" i="1"/>
  <c r="E126" i="1"/>
  <c r="D126" i="1"/>
  <c r="E125" i="1"/>
  <c r="D125" i="1"/>
  <c r="E124" i="1"/>
  <c r="F124" i="1" s="1"/>
  <c r="D124" i="1"/>
  <c r="E123" i="1"/>
  <c r="D123" i="1"/>
  <c r="E122" i="1"/>
  <c r="D122" i="1"/>
  <c r="E121" i="1"/>
  <c r="D121" i="1"/>
  <c r="E120" i="1"/>
  <c r="F120" i="1" s="1"/>
  <c r="D120" i="1"/>
  <c r="E119" i="1"/>
  <c r="D119" i="1"/>
  <c r="E118" i="1"/>
  <c r="D118" i="1"/>
  <c r="E117" i="1"/>
  <c r="D117" i="1"/>
  <c r="E116" i="1"/>
  <c r="F116" i="1" s="1"/>
  <c r="D116" i="1"/>
  <c r="E115" i="1"/>
  <c r="D115" i="1"/>
  <c r="E114" i="1"/>
  <c r="D114" i="1"/>
  <c r="E113" i="1"/>
  <c r="D113" i="1"/>
  <c r="E112" i="1"/>
  <c r="F112" i="1" s="1"/>
  <c r="D112" i="1"/>
  <c r="E111" i="1"/>
  <c r="D111" i="1"/>
  <c r="E110" i="1"/>
  <c r="F110" i="1" s="1"/>
  <c r="D110" i="1"/>
  <c r="E109" i="1"/>
  <c r="D109" i="1"/>
  <c r="F108" i="1"/>
  <c r="E108" i="1"/>
  <c r="D108" i="1"/>
  <c r="E107" i="1"/>
  <c r="D107" i="1"/>
  <c r="E106" i="1"/>
  <c r="F106" i="1" s="1"/>
  <c r="D106" i="1"/>
  <c r="E105" i="1"/>
  <c r="D105" i="1"/>
  <c r="E104" i="1"/>
  <c r="D104" i="1"/>
  <c r="F104" i="1" s="1"/>
  <c r="E103" i="1"/>
  <c r="F103" i="1" s="1"/>
  <c r="D103" i="1"/>
  <c r="E102" i="1"/>
  <c r="D102" i="1"/>
  <c r="E101" i="1"/>
  <c r="F101" i="1" s="1"/>
  <c r="D101" i="1"/>
  <c r="E100" i="1"/>
  <c r="D100" i="1"/>
  <c r="E99" i="1"/>
  <c r="F99" i="1" s="1"/>
  <c r="D99" i="1"/>
  <c r="E98" i="1"/>
  <c r="D98" i="1"/>
  <c r="E97" i="1"/>
  <c r="F97" i="1" s="1"/>
  <c r="D97" i="1"/>
  <c r="E96" i="1"/>
  <c r="D96" i="1"/>
  <c r="E95" i="1"/>
  <c r="D95" i="1"/>
  <c r="E94" i="1"/>
  <c r="D94" i="1"/>
  <c r="E93" i="1"/>
  <c r="D93" i="1"/>
  <c r="E92" i="1"/>
  <c r="F92" i="1" s="1"/>
  <c r="D92" i="1"/>
  <c r="E91" i="1"/>
  <c r="D91" i="1"/>
  <c r="E90" i="1"/>
  <c r="D90" i="1"/>
  <c r="E89" i="1"/>
  <c r="D89" i="1"/>
  <c r="E88" i="1"/>
  <c r="F88" i="1" s="1"/>
  <c r="D88" i="1"/>
  <c r="E87" i="1"/>
  <c r="D87" i="1"/>
  <c r="E86" i="1"/>
  <c r="D86" i="1"/>
  <c r="E85" i="1"/>
  <c r="D85" i="1"/>
  <c r="E84" i="1"/>
  <c r="F84" i="1" s="1"/>
  <c r="D84" i="1"/>
  <c r="E83" i="1"/>
  <c r="D83" i="1"/>
  <c r="E82" i="1"/>
  <c r="D82" i="1"/>
  <c r="E81" i="1"/>
  <c r="D81" i="1"/>
  <c r="E80" i="1"/>
  <c r="F80" i="1" s="1"/>
  <c r="D80" i="1"/>
  <c r="E79" i="1"/>
  <c r="D79" i="1"/>
  <c r="E78" i="1"/>
  <c r="F78" i="1" s="1"/>
  <c r="D78" i="1"/>
  <c r="E77" i="1"/>
  <c r="D77" i="1"/>
  <c r="F76" i="1"/>
  <c r="E76" i="1"/>
  <c r="D76" i="1"/>
  <c r="E75" i="1"/>
  <c r="D75" i="1"/>
  <c r="E74" i="1"/>
  <c r="F74" i="1" s="1"/>
  <c r="D74" i="1"/>
  <c r="E73" i="1"/>
  <c r="D73" i="1"/>
  <c r="E72" i="1"/>
  <c r="D72" i="1"/>
  <c r="F72" i="1" s="1"/>
  <c r="E71" i="1"/>
  <c r="F71" i="1" s="1"/>
  <c r="D71" i="1"/>
  <c r="E70" i="1"/>
  <c r="D70" i="1"/>
  <c r="E69" i="1"/>
  <c r="F69" i="1" s="1"/>
  <c r="D69" i="1"/>
  <c r="E68" i="1"/>
  <c r="D68" i="1"/>
  <c r="E67" i="1"/>
  <c r="F67" i="1" s="1"/>
  <c r="D67" i="1"/>
  <c r="E66" i="1"/>
  <c r="D66" i="1"/>
  <c r="E65" i="1"/>
  <c r="F65" i="1" s="1"/>
  <c r="D65" i="1"/>
  <c r="E64" i="1"/>
  <c r="D64" i="1"/>
  <c r="E63" i="1"/>
  <c r="D63" i="1"/>
  <c r="E62" i="1"/>
  <c r="D62" i="1"/>
  <c r="E61" i="1"/>
  <c r="D61" i="1"/>
  <c r="E60" i="1"/>
  <c r="F60" i="1" s="1"/>
  <c r="D60" i="1"/>
  <c r="E59" i="1"/>
  <c r="D59" i="1"/>
  <c r="E58" i="1"/>
  <c r="D58" i="1"/>
  <c r="E57" i="1"/>
  <c r="D57" i="1"/>
  <c r="E56" i="1"/>
  <c r="F56" i="1" s="1"/>
  <c r="D56" i="1"/>
  <c r="E55" i="1"/>
  <c r="D55" i="1"/>
  <c r="E54" i="1"/>
  <c r="F54" i="1" s="1"/>
  <c r="D54" i="1"/>
  <c r="E53" i="1"/>
  <c r="D53" i="1"/>
  <c r="E52" i="1"/>
  <c r="F52" i="1" s="1"/>
  <c r="D52" i="1"/>
  <c r="E51" i="1"/>
  <c r="D51" i="1"/>
  <c r="E50" i="1"/>
  <c r="D50" i="1"/>
  <c r="E49" i="1"/>
  <c r="D49" i="1"/>
  <c r="E48" i="1"/>
  <c r="F48" i="1" s="1"/>
  <c r="D48" i="1"/>
  <c r="E47" i="1"/>
  <c r="D47" i="1"/>
  <c r="E46" i="1"/>
  <c r="F46" i="1" s="1"/>
  <c r="D46" i="1"/>
  <c r="E45" i="1"/>
  <c r="D45" i="1"/>
  <c r="F44" i="1"/>
  <c r="E44" i="1"/>
  <c r="D44" i="1"/>
  <c r="E43" i="1"/>
  <c r="D43" i="1"/>
  <c r="E42" i="1"/>
  <c r="F42" i="1" s="1"/>
  <c r="D42" i="1"/>
  <c r="E41" i="1"/>
  <c r="D41" i="1"/>
  <c r="E40" i="1"/>
  <c r="D40" i="1"/>
  <c r="F40" i="1" s="1"/>
  <c r="E39" i="1"/>
  <c r="F39" i="1" s="1"/>
  <c r="D39" i="1"/>
  <c r="E38" i="1"/>
  <c r="D38" i="1"/>
  <c r="E37" i="1"/>
  <c r="D37" i="1"/>
  <c r="E36" i="1"/>
  <c r="D36" i="1"/>
  <c r="E35" i="1"/>
  <c r="F35" i="1" s="1"/>
  <c r="D35" i="1"/>
  <c r="E34" i="1"/>
  <c r="D34" i="1"/>
  <c r="E33" i="1"/>
  <c r="D33" i="1"/>
  <c r="E32" i="1"/>
  <c r="D32" i="1"/>
  <c r="E31" i="1"/>
  <c r="F31" i="1" s="1"/>
  <c r="D31" i="1"/>
  <c r="E30" i="1"/>
  <c r="D30" i="1"/>
  <c r="E29" i="1"/>
  <c r="D29" i="1"/>
  <c r="E28" i="1"/>
  <c r="F28" i="1" s="1"/>
  <c r="D28" i="1"/>
  <c r="E27" i="1"/>
  <c r="D27" i="1"/>
  <c r="E26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4" i="1"/>
  <c r="D5" i="1"/>
  <c r="F20" i="1"/>
  <c r="F12" i="1"/>
  <c r="E25" i="1"/>
  <c r="F25" i="1" s="1"/>
  <c r="E24" i="1"/>
  <c r="F24" i="1" s="1"/>
  <c r="E23" i="1"/>
  <c r="E22" i="1"/>
  <c r="E21" i="1"/>
  <c r="F21" i="1" s="1"/>
  <c r="E20" i="1"/>
  <c r="E19" i="1"/>
  <c r="E18" i="1"/>
  <c r="E17" i="1"/>
  <c r="F17" i="1" s="1"/>
  <c r="E16" i="1"/>
  <c r="F16" i="1" s="1"/>
  <c r="E15" i="1"/>
  <c r="E14" i="1"/>
  <c r="E13" i="1"/>
  <c r="F13" i="1" s="1"/>
  <c r="E12" i="1"/>
  <c r="E11" i="1"/>
  <c r="E10" i="1"/>
  <c r="E9" i="1"/>
  <c r="F9" i="1" s="1"/>
  <c r="E8" i="1"/>
  <c r="F8" i="1" s="1"/>
  <c r="E7" i="1"/>
  <c r="E6" i="1"/>
  <c r="E5" i="1"/>
  <c r="E4" i="1"/>
  <c r="F7" i="1" l="1"/>
  <c r="F11" i="1"/>
  <c r="F19" i="1"/>
  <c r="F26" i="1"/>
  <c r="F58" i="1"/>
  <c r="F90" i="1"/>
  <c r="F122" i="1"/>
  <c r="F143" i="1"/>
  <c r="F4" i="1"/>
  <c r="F30" i="1"/>
  <c r="F32" i="1"/>
  <c r="F36" i="1"/>
  <c r="F38" i="1"/>
  <c r="F45" i="1"/>
  <c r="F47" i="1"/>
  <c r="F49" i="1"/>
  <c r="F51" i="1"/>
  <c r="F53" i="1"/>
  <c r="F55" i="1"/>
  <c r="F62" i="1"/>
  <c r="F64" i="1"/>
  <c r="F68" i="1"/>
  <c r="F81" i="1"/>
  <c r="F83" i="1"/>
  <c r="F85" i="1"/>
  <c r="F87" i="1"/>
  <c r="F94" i="1"/>
  <c r="F96" i="1"/>
  <c r="F100" i="1"/>
  <c r="F113" i="1"/>
  <c r="F115" i="1"/>
  <c r="F117" i="1"/>
  <c r="F119" i="1"/>
  <c r="F126" i="1"/>
  <c r="F128" i="1"/>
  <c r="F132" i="1"/>
  <c r="F136" i="1"/>
  <c r="F138" i="1"/>
  <c r="F15" i="1"/>
  <c r="F23" i="1"/>
  <c r="F141" i="1"/>
  <c r="F145" i="1"/>
  <c r="F27" i="1"/>
  <c r="F29" i="1"/>
  <c r="F34" i="1"/>
  <c r="F41" i="1"/>
  <c r="F43" i="1"/>
  <c r="F50" i="1"/>
  <c r="F57" i="1"/>
  <c r="F59" i="1"/>
  <c r="F66" i="1"/>
  <c r="F73" i="1"/>
  <c r="F75" i="1"/>
  <c r="F82" i="1"/>
  <c r="F89" i="1"/>
  <c r="F91" i="1"/>
  <c r="F98" i="1"/>
  <c r="F105" i="1"/>
  <c r="F107" i="1"/>
  <c r="F114" i="1"/>
  <c r="F121" i="1"/>
  <c r="F123" i="1"/>
  <c r="F130" i="1"/>
  <c r="F137" i="1"/>
  <c r="F139" i="1"/>
  <c r="F5" i="1"/>
  <c r="F6" i="1"/>
  <c r="F10" i="1"/>
  <c r="F14" i="1"/>
  <c r="F18" i="1"/>
  <c r="F22" i="1"/>
  <c r="F33" i="1"/>
  <c r="F61" i="1"/>
  <c r="F63" i="1"/>
  <c r="F70" i="1"/>
  <c r="F77" i="1"/>
  <c r="F79" i="1"/>
  <c r="F86" i="1"/>
  <c r="F93" i="1"/>
  <c r="F95" i="1"/>
  <c r="F102" i="1"/>
  <c r="F109" i="1"/>
  <c r="F111" i="1"/>
  <c r="F118" i="1"/>
  <c r="F125" i="1"/>
  <c r="F127" i="1"/>
  <c r="F134" i="1"/>
  <c r="F37" i="1"/>
</calcChain>
</file>

<file path=xl/sharedStrings.xml><?xml version="1.0" encoding="utf-8"?>
<sst xmlns="http://schemas.openxmlformats.org/spreadsheetml/2006/main" count="282" uniqueCount="140">
  <si>
    <t xml:space="preserve">🅛︎🅘︎🅢︎🅣︎🅐︎  🅓︎🅔︎  🅟︎🅡︎🅔︎🅒︎🅘︎🅞︎🅢︎.    _Debido a las circunstancias actuales de la economía de nuestro país,la lista puede sufrir modificaciones sin previo aviso.  Los precios en varias ocasiones puede servir de referencia </t>
  </si>
  <si>
    <t xml:space="preserve">_ </t>
  </si>
  <si>
    <t> ➡️𝔾𝔸𝕊𝔼𝕆𝕊𝔸𝕊⬅️</t>
  </si>
  <si>
    <t>Manaos 2.25 x6  $940</t>
  </si>
  <si>
    <t>Cunnington 2.25L  $1130</t>
  </si>
  <si>
    <t>Coca Cola 2.25L ×8 $3290</t>
  </si>
  <si>
    <t>Coca Zero 2.25L x8 3290</t>
  </si>
  <si>
    <t>Sprite 2.25L x8 $3290</t>
  </si>
  <si>
    <t>Pepsi 2.25L x8 $2.900</t>
  </si>
  <si>
    <t>7Up 2.25L x8 $</t>
  </si>
  <si>
    <t>Fanta 2.25 x8 $</t>
  </si>
  <si>
    <t>Coca Cola 1.75L $2900</t>
  </si>
  <si>
    <t>Cajon Coca 1Lx12.   $2.750</t>
  </si>
  <si>
    <t>Cajon Coca 2L Ret.  $2.600</t>
  </si>
  <si>
    <t>Pepsi 1.5L x6.  $</t>
  </si>
  <si>
    <t>7up 1.5L.     $</t>
  </si>
  <si>
    <t>Manaos 600 x12 $990</t>
  </si>
  <si>
    <t>Coca cola 500 x6 $870</t>
  </si>
  <si>
    <t>Sprite 500 x6 $870</t>
  </si>
  <si>
    <t>Lata Pepsi x6 $630</t>
  </si>
  <si>
    <t>Lata 7up x6 $630</t>
  </si>
  <si>
    <t>Lata Coca $870</t>
  </si>
  <si>
    <t>Lata Sprite $870</t>
  </si>
  <si>
    <t>Pepsi 500cc x12 $</t>
  </si>
  <si>
    <t>Seven up 500cc $</t>
  </si>
  <si>
    <t> ➡️𝕁𝕌𝔾𝕆𝕊⬅️</t>
  </si>
  <si>
    <t>Fresh  1,5  ×6         $</t>
  </si>
  <si>
    <t>Levite 1.5 x6         $</t>
  </si>
  <si>
    <t>Placer 1,5L x6        $750</t>
  </si>
  <si>
    <t>Placer 2.5L x6      $</t>
  </si>
  <si>
    <t>Placer chica x12      $730</t>
  </si>
  <si>
    <t>Baggios 1L x8          $1.840</t>
  </si>
  <si>
    <t>Baggio x18 200cc   $1.360</t>
  </si>
  <si>
    <t>Baggio fresh.tetra x8 $</t>
  </si>
  <si>
    <t>Baggio fresh.chicox18 $</t>
  </si>
  <si>
    <t>Pindapoy 1L x8      $1490</t>
  </si>
  <si>
    <t>Gatorade 500ml x6 $</t>
  </si>
  <si>
    <t xml:space="preserve">Aquarius 500ml ×6 $740.                 </t>
  </si>
  <si>
    <t>Rinde2 cajax20 sobres$900</t>
  </si>
  <si>
    <t>➡️𝔸𝕘𝕦𝕒⬅️</t>
  </si>
  <si>
    <t>Soda manaos x6  $960</t>
  </si>
  <si>
    <t>Agua Villamanaos 2Lx6 $540</t>
  </si>
  <si>
    <t>Agua corazón 1.5 ×6  $</t>
  </si>
  <si>
    <t>Agua Villamanaos 600cc x12  $580</t>
  </si>
  <si>
    <t>Agua bidón 6 litros  $320</t>
  </si>
  <si>
    <t>Agua villavicencio 1.5 $</t>
  </si>
  <si>
    <t>_Agua glaciar $</t>
  </si>
  <si>
    <t> ➡️𝔸𝕡𝕖𝕣𝕚𝕥𝕚𝕧𝕠𝕤⬅️</t>
  </si>
  <si>
    <t>Speed x6                $940</t>
  </si>
  <si>
    <t>Speed xxl x6        $1480</t>
  </si>
  <si>
    <t>Smirnof c/u            $1.400</t>
  </si>
  <si>
    <t>Sernova  c/u        $980</t>
  </si>
  <si>
    <t>Sky c/u               $1400</t>
  </si>
  <si>
    <t>Absolut c/u          $</t>
  </si>
  <si>
    <t>_Gancia 1L c/u _       $680</t>
  </si>
  <si>
    <t>Campari c/u           $980</t>
  </si>
  <si>
    <t>Dr Lemon XL c/u    $380</t>
  </si>
  <si>
    <t>Lata Dr Lemon x6.   $</t>
  </si>
  <si>
    <t>Fresitac/u     $1200</t>
  </si>
  <si>
    <t>Fernet 750cc c/u _   $1.850.              _Fernet Dorado$2000</t>
  </si>
  <si>
    <t>Fernet litro         $</t>
  </si>
  <si>
    <t>Fernet 450cc.       $1350</t>
  </si>
  <si>
    <t>Federico Alvear 📦 $3.900</t>
  </si>
  <si>
    <t>Frezze x6                 $2000</t>
  </si>
  <si>
    <t>Fernandito x6       $</t>
  </si>
  <si>
    <t>Petacas criadores  $</t>
  </si>
  <si>
    <t>Licores 750 tres plumas$</t>
  </si>
  <si>
    <t>Criadores 750ml $</t>
  </si>
  <si>
    <t>Petakon  $</t>
  </si>
  <si>
    <t>Sidra del valle $</t>
  </si>
  <si>
    <t>Sidra tunuyan $2000</t>
  </si>
  <si>
    <t>Ananá fizz tunuyan$2500.                               Sidra 1888 📦_  $6300</t>
  </si>
  <si>
    <t>Lata frizze $</t>
  </si>
  <si>
    <t>Lata smirnoff ×6 $</t>
  </si>
  <si>
    <t> ➡️𝕍𝕚𝕟𝕠𝕤⬅️</t>
  </si>
  <si>
    <t>•Tetra Brick:</t>
  </si>
  <si>
    <t>_Termidor x12 _  $3950</t>
  </si>
  <si>
    <t>Uvita T x12       $3980</t>
  </si>
  <si>
    <t>Uvita B x12       $3.980</t>
  </si>
  <si>
    <t>Manojo de uvas T $2690</t>
  </si>
  <si>
    <t>Manojo de uvas B $2.350</t>
  </si>
  <si>
    <t>Manojo de uvas BD $</t>
  </si>
  <si>
    <t>•1.25L :</t>
  </si>
  <si>
    <t>Viñas de Balbo x6 1,25L  $2450</t>
  </si>
  <si>
    <t>Viñas de alvear  $2.680</t>
  </si>
  <si>
    <t>Cabarceno patero ×6 1.25L $2.650</t>
  </si>
  <si>
    <t>Viñas San Pedro x6 $1.900</t>
  </si>
  <si>
    <t>Salonera  1.25 x6 $1.500</t>
  </si>
  <si>
    <t>•3/4</t>
  </si>
  <si>
    <t>Nampe x6   $2.500</t>
  </si>
  <si>
    <t>Cosecha Tardia blanco$3.500</t>
  </si>
  <si>
    <t>New Age blanco $</t>
  </si>
  <si>
    <t>Quara blanco dulce $</t>
  </si>
  <si>
    <t>Quara tinto $2000</t>
  </si>
  <si>
    <t>Chinvengüencha Red$</t>
  </si>
  <si>
    <t>Dada Malbec $3900</t>
  </si>
  <si>
    <t>Finca de las moras $</t>
  </si>
  <si>
    <t>Alma Mora$4000</t>
  </si>
  <si>
    <t>Don Valentín $2.400</t>
  </si>
  <si>
    <t>Michel tinto 750ml x6 $1.550</t>
  </si>
  <si>
    <t>Norton tinto x6         $1.800</t>
  </si>
  <si>
    <t>Otro Loco Mas malbec $3300</t>
  </si>
  <si>
    <t>Benjamín Malbec $</t>
  </si>
  <si>
    <t>Cordero con piel de lobo $4000</t>
  </si>
  <si>
    <t>➡️ℂ𝔼ℝ𝕍𝔼ℤ𝔸⬅️</t>
  </si>
  <si>
    <t>Cajon Heineken 1litro $6500</t>
  </si>
  <si>
    <t>Cajón Stella 1litro$6400</t>
  </si>
  <si>
    <t xml:space="preserve"> Brahma Cajon 1L_x12$4800</t>
  </si>
  <si>
    <t>_Quilmes Cajon 1L x12$4750</t>
  </si>
  <si>
    <t>Cajon Palermo$</t>
  </si>
  <si>
    <t>Cajón Hanover$</t>
  </si>
  <si>
    <t>Cajon Isenbeck$</t>
  </si>
  <si>
    <t>Cajon Santa Fe$</t>
  </si>
  <si>
    <t>Cajon iguana$3700</t>
  </si>
  <si>
    <t xml:space="preserve">Lata brahma 473ccx24     </t>
  </si>
  <si>
    <t>Lata andes rubia x24  $4.500</t>
  </si>
  <si>
    <t>Lata andes ipa x24 $4500</t>
  </si>
  <si>
    <t>Lata andes roja x24 **</t>
  </si>
  <si>
    <t>Lata andes negra x24 $</t>
  </si>
  <si>
    <t xml:space="preserve">Lata andes fresquita x24 *.                                                       Lata Iguana x24    *$3800.                        </t>
  </si>
  <si>
    <t xml:space="preserve"> Lata Isenbeck x24 $3600                               _ Lata Miller x24 *$5000</t>
  </si>
  <si>
    <t>Lata Heineken ×24 $5900</t>
  </si>
  <si>
    <t>Lata Schneider x24 $4500</t>
  </si>
  <si>
    <t>Corona 710cc x12  $6000</t>
  </si>
  <si>
    <t>Lata Heineken 710 ×24 $10800</t>
  </si>
  <si>
    <t>Porrón corona x6  $</t>
  </si>
  <si>
    <t>Lata Quilmes x24  $4300</t>
  </si>
  <si>
    <t>Lata Wasteiner x24 $</t>
  </si>
  <si>
    <t>Lata schneider 710x24 $8200</t>
  </si>
  <si>
    <t>Lata Stella x24  $</t>
  </si>
  <si>
    <t>Lata Santa Fe x24 $4400</t>
  </si>
  <si>
    <t>  ➡️ℂ𝕀𝔾𝔸ℝℝ𝕀𝕃𝕃𝕆𝕊⬅️</t>
  </si>
  <si>
    <t xml:space="preserve"> •Red Point Atado x10u       $2000</t>
  </si>
  <si>
    <t xml:space="preserve"> •Master  Atado x10u $1780</t>
  </si>
  <si>
    <t>•Dolchester Atado x10  $1900</t>
  </si>
  <si>
    <t>-</t>
  </si>
  <si>
    <t>Cantidad</t>
  </si>
  <si>
    <t>TOTAL</t>
  </si>
  <si>
    <t>UNIDAD</t>
  </si>
  <si>
    <t>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</si>
</sst>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\ #,##0;[Red]\-&quot;$&quot;\ #,##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6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4EEC2-A914-4776-A1CD-F1F350336FA0}">
  <dimension ref="A1:G145"/>
  <sheetViews>
    <sheetView tabSelected="1" workbookViewId="0">
      <selection activeCell="F14" sqref="F14"/>
    </sheetView>
  </sheetViews>
  <sheetFormatPr baseColWidth="10" defaultRowHeight="15" x14ac:dyDescent="0.25"/>
  <cols>
    <col min="1" max="1" width="21.140625" customWidth="1"/>
    <col min="3" max="3" width="13.28515625" bestFit="1" customWidth="1"/>
    <col min="4" max="4" width="11.85546875" bestFit="1" customWidth="1"/>
  </cols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  <c r="B3" t="s">
        <v>135</v>
      </c>
      <c r="C3" t="s">
        <v>139</v>
      </c>
      <c r="D3" t="s">
        <v>136</v>
      </c>
      <c r="E3" t="s">
        <v>137</v>
      </c>
      <c r="F3" t="s">
        <v>138</v>
      </c>
    </row>
    <row r="4" spans="1:7" x14ac:dyDescent="0.25">
      <c r="A4" t="s">
        <v>3</v>
      </c>
      <c r="B4" t="s">
        <v>135</v>
      </c>
      <c r="C4" t="str">
        <f t="shared" ref="C4:C35" si="0">IFERROR( MID(A4,1,FIND("x",A4,1) - 1), MID(A4,1,FIND("$",A4,1) - 1))</f>
        <v xml:space="preserve">Manaos 2.25 </v>
      </c>
      <c r="D4">
        <f t="shared" ref="D4:D25" si="1">IFERROR(VALUE(MID(A4,FIND("x",A4,1)+1,1)),1)</f>
        <v>6</v>
      </c>
      <c r="E4">
        <f>VALUE(MID(A4,FIND("$",A4,1)+1,LEN(A4) - FIND("$",A4,1)   ))</f>
        <v>940</v>
      </c>
      <c r="F4" s="2">
        <f>E4 / D4</f>
        <v>156.66666666666666</v>
      </c>
      <c r="G4" s="2"/>
    </row>
    <row r="5" spans="1:7" x14ac:dyDescent="0.25">
      <c r="A5" t="s">
        <v>4</v>
      </c>
      <c r="B5" t="s">
        <v>135</v>
      </c>
      <c r="C5" t="str">
        <f>IFERROR( MID(A5,1,FIND("x",A5,1) - 1), MID(A5,1,FIND("$",A5,1) - 1))</f>
        <v xml:space="preserve">Cunnington 2.25L  </v>
      </c>
      <c r="D5">
        <f>IFERROR(VALUE(MID(A5,FIND("x",A5,1)+1,1)),1)</f>
        <v>1</v>
      </c>
      <c r="E5">
        <f t="shared" ref="E5:E25" si="2">VALUE(MID(A5,FIND("$",A5,1)+1,LEN(A5) - FIND("$",A5,1)   ))</f>
        <v>1130</v>
      </c>
      <c r="F5" s="2">
        <f t="shared" ref="F5:F25" si="3">E5 / D5</f>
        <v>1130</v>
      </c>
    </row>
    <row r="6" spans="1:7" x14ac:dyDescent="0.25">
      <c r="A6" t="s">
        <v>5</v>
      </c>
      <c r="B6" t="s">
        <v>135</v>
      </c>
      <c r="C6" t="str">
        <f t="shared" ref="C6:C69" si="4">IFERROR( MID(A6,1,FIND("x",A6,1) - 1), MID(A6,1,FIND("$",A6,1) - 1))</f>
        <v xml:space="preserve">Coca Cola 2.25L ×8 </v>
      </c>
      <c r="D6">
        <f t="shared" ref="D6:D25" si="5">IFERROR(VALUE(MID(A6,FIND("x",A6,1)+1,1)),1)</f>
        <v>1</v>
      </c>
      <c r="E6">
        <f t="shared" si="2"/>
        <v>3290</v>
      </c>
      <c r="F6" s="2">
        <f t="shared" si="3"/>
        <v>3290</v>
      </c>
    </row>
    <row r="7" spans="1:7" x14ac:dyDescent="0.25">
      <c r="A7" t="s">
        <v>6</v>
      </c>
      <c r="B7" t="s">
        <v>135</v>
      </c>
      <c r="C7" t="str">
        <f t="shared" si="4"/>
        <v xml:space="preserve">Coca Zero 2.25L </v>
      </c>
      <c r="D7">
        <f t="shared" si="5"/>
        <v>8</v>
      </c>
      <c r="E7" t="e">
        <f t="shared" si="2"/>
        <v>#VALUE!</v>
      </c>
      <c r="F7" s="2" t="e">
        <f t="shared" si="3"/>
        <v>#VALUE!</v>
      </c>
    </row>
    <row r="8" spans="1:7" x14ac:dyDescent="0.25">
      <c r="A8" t="s">
        <v>7</v>
      </c>
      <c r="B8" t="s">
        <v>135</v>
      </c>
      <c r="C8" t="str">
        <f t="shared" si="4"/>
        <v xml:space="preserve">Sprite 2.25L </v>
      </c>
      <c r="D8">
        <f t="shared" si="5"/>
        <v>8</v>
      </c>
      <c r="E8">
        <f t="shared" si="2"/>
        <v>3290</v>
      </c>
      <c r="F8" s="2">
        <f t="shared" si="3"/>
        <v>411.25</v>
      </c>
    </row>
    <row r="9" spans="1:7" x14ac:dyDescent="0.25">
      <c r="A9" t="s">
        <v>8</v>
      </c>
      <c r="B9" t="s">
        <v>135</v>
      </c>
      <c r="C9" t="str">
        <f t="shared" si="4"/>
        <v xml:space="preserve">Pepsi 2.25L </v>
      </c>
      <c r="D9">
        <f t="shared" si="5"/>
        <v>8</v>
      </c>
      <c r="E9">
        <f t="shared" si="2"/>
        <v>2900</v>
      </c>
      <c r="F9" s="2">
        <f t="shared" si="3"/>
        <v>362.5</v>
      </c>
    </row>
    <row r="10" spans="1:7" x14ac:dyDescent="0.25">
      <c r="A10" t="s">
        <v>9</v>
      </c>
      <c r="B10" t="s">
        <v>135</v>
      </c>
      <c r="C10" t="str">
        <f t="shared" si="4"/>
        <v xml:space="preserve">7Up 2.25L </v>
      </c>
      <c r="D10">
        <f t="shared" si="5"/>
        <v>8</v>
      </c>
      <c r="E10" t="e">
        <f t="shared" si="2"/>
        <v>#VALUE!</v>
      </c>
      <c r="F10" s="2" t="e">
        <f t="shared" si="3"/>
        <v>#VALUE!</v>
      </c>
    </row>
    <row r="11" spans="1:7" x14ac:dyDescent="0.25">
      <c r="A11" t="s">
        <v>10</v>
      </c>
      <c r="B11" t="s">
        <v>135</v>
      </c>
      <c r="C11" t="str">
        <f t="shared" si="4"/>
        <v xml:space="preserve">Fanta 2.25 </v>
      </c>
      <c r="D11">
        <f t="shared" si="5"/>
        <v>8</v>
      </c>
      <c r="E11" t="e">
        <f t="shared" si="2"/>
        <v>#VALUE!</v>
      </c>
      <c r="F11" s="2" t="e">
        <f t="shared" si="3"/>
        <v>#VALUE!</v>
      </c>
    </row>
    <row r="12" spans="1:7" x14ac:dyDescent="0.25">
      <c r="A12" t="s">
        <v>11</v>
      </c>
      <c r="B12" t="s">
        <v>135</v>
      </c>
      <c r="C12" t="str">
        <f t="shared" si="4"/>
        <v xml:space="preserve">Coca Cola 1.75L </v>
      </c>
      <c r="D12">
        <f t="shared" si="5"/>
        <v>1</v>
      </c>
      <c r="E12">
        <f t="shared" si="2"/>
        <v>2900</v>
      </c>
      <c r="F12" s="2">
        <f t="shared" si="3"/>
        <v>2900</v>
      </c>
    </row>
    <row r="13" spans="1:7" x14ac:dyDescent="0.25">
      <c r="A13" t="s">
        <v>12</v>
      </c>
      <c r="B13" t="s">
        <v>135</v>
      </c>
      <c r="C13" t="str">
        <f t="shared" si="4"/>
        <v>Cajon Coca 1L</v>
      </c>
      <c r="D13">
        <f t="shared" si="5"/>
        <v>1</v>
      </c>
      <c r="E13">
        <f t="shared" si="2"/>
        <v>2750</v>
      </c>
      <c r="F13" s="2">
        <f t="shared" si="3"/>
        <v>2750</v>
      </c>
    </row>
    <row r="14" spans="1:7" x14ac:dyDescent="0.25">
      <c r="A14" t="s">
        <v>13</v>
      </c>
      <c r="B14" t="s">
        <v>135</v>
      </c>
      <c r="C14" t="str">
        <f t="shared" si="4"/>
        <v xml:space="preserve">Cajon Coca 2L Ret.  </v>
      </c>
      <c r="D14">
        <f t="shared" si="5"/>
        <v>1</v>
      </c>
      <c r="E14">
        <f t="shared" si="2"/>
        <v>2600</v>
      </c>
      <c r="F14" s="2">
        <f t="shared" si="3"/>
        <v>2600</v>
      </c>
    </row>
    <row r="15" spans="1:7" x14ac:dyDescent="0.25">
      <c r="A15" t="s">
        <v>14</v>
      </c>
      <c r="B15" t="s">
        <v>135</v>
      </c>
      <c r="C15" t="str">
        <f t="shared" si="4"/>
        <v xml:space="preserve">Pepsi 1.5L </v>
      </c>
      <c r="D15">
        <f t="shared" si="5"/>
        <v>6</v>
      </c>
      <c r="E15" t="e">
        <f t="shared" si="2"/>
        <v>#VALUE!</v>
      </c>
      <c r="F15" s="2" t="e">
        <f t="shared" si="3"/>
        <v>#VALUE!</v>
      </c>
    </row>
    <row r="16" spans="1:7" x14ac:dyDescent="0.25">
      <c r="A16" t="s">
        <v>15</v>
      </c>
      <c r="B16" t="s">
        <v>135</v>
      </c>
      <c r="C16" t="str">
        <f t="shared" si="4"/>
        <v xml:space="preserve">7up 1.5L.     </v>
      </c>
      <c r="D16">
        <f t="shared" si="5"/>
        <v>1</v>
      </c>
      <c r="E16" t="e">
        <f t="shared" si="2"/>
        <v>#VALUE!</v>
      </c>
      <c r="F16" s="2" t="e">
        <f t="shared" si="3"/>
        <v>#VALUE!</v>
      </c>
    </row>
    <row r="17" spans="1:6" x14ac:dyDescent="0.25">
      <c r="A17" t="s">
        <v>16</v>
      </c>
      <c r="B17" t="s">
        <v>135</v>
      </c>
      <c r="C17" t="str">
        <f t="shared" si="4"/>
        <v xml:space="preserve">Manaos 600 </v>
      </c>
      <c r="D17">
        <f t="shared" si="5"/>
        <v>1</v>
      </c>
      <c r="E17">
        <f t="shared" si="2"/>
        <v>990</v>
      </c>
      <c r="F17" s="2">
        <f t="shared" si="3"/>
        <v>990</v>
      </c>
    </row>
    <row r="18" spans="1:6" x14ac:dyDescent="0.25">
      <c r="A18" t="s">
        <v>17</v>
      </c>
      <c r="B18" t="s">
        <v>135</v>
      </c>
      <c r="C18" t="str">
        <f t="shared" si="4"/>
        <v xml:space="preserve">Coca cola 500 </v>
      </c>
      <c r="D18">
        <f t="shared" si="5"/>
        <v>6</v>
      </c>
      <c r="E18">
        <f t="shared" si="2"/>
        <v>870</v>
      </c>
      <c r="F18" s="2">
        <f t="shared" si="3"/>
        <v>145</v>
      </c>
    </row>
    <row r="19" spans="1:6" x14ac:dyDescent="0.25">
      <c r="A19" t="s">
        <v>18</v>
      </c>
      <c r="B19" t="s">
        <v>135</v>
      </c>
      <c r="C19" t="str">
        <f t="shared" si="4"/>
        <v xml:space="preserve">Sprite 500 </v>
      </c>
      <c r="D19">
        <f t="shared" si="5"/>
        <v>6</v>
      </c>
      <c r="E19">
        <f t="shared" si="2"/>
        <v>870</v>
      </c>
      <c r="F19" s="2">
        <f t="shared" si="3"/>
        <v>145</v>
      </c>
    </row>
    <row r="20" spans="1:6" x14ac:dyDescent="0.25">
      <c r="A20" t="s">
        <v>19</v>
      </c>
      <c r="B20" t="s">
        <v>135</v>
      </c>
      <c r="C20" t="str">
        <f t="shared" si="4"/>
        <v xml:space="preserve">Lata Pepsi </v>
      </c>
      <c r="D20">
        <f t="shared" si="5"/>
        <v>6</v>
      </c>
      <c r="E20">
        <f t="shared" si="2"/>
        <v>630</v>
      </c>
      <c r="F20" s="2">
        <f t="shared" si="3"/>
        <v>105</v>
      </c>
    </row>
    <row r="21" spans="1:6" x14ac:dyDescent="0.25">
      <c r="A21" t="s">
        <v>20</v>
      </c>
      <c r="B21" t="s">
        <v>135</v>
      </c>
      <c r="C21" t="str">
        <f t="shared" si="4"/>
        <v xml:space="preserve">Lata 7up </v>
      </c>
      <c r="D21">
        <f t="shared" si="5"/>
        <v>6</v>
      </c>
      <c r="E21">
        <f t="shared" si="2"/>
        <v>630</v>
      </c>
      <c r="F21" s="2">
        <f t="shared" si="3"/>
        <v>105</v>
      </c>
    </row>
    <row r="22" spans="1:6" x14ac:dyDescent="0.25">
      <c r="A22" t="s">
        <v>21</v>
      </c>
      <c r="B22" t="s">
        <v>135</v>
      </c>
      <c r="C22" t="str">
        <f t="shared" si="4"/>
        <v xml:space="preserve">Lata Coca </v>
      </c>
      <c r="D22">
        <f t="shared" si="5"/>
        <v>1</v>
      </c>
      <c r="E22">
        <f t="shared" si="2"/>
        <v>870</v>
      </c>
      <c r="F22" s="2">
        <f t="shared" si="3"/>
        <v>870</v>
      </c>
    </row>
    <row r="23" spans="1:6" x14ac:dyDescent="0.25">
      <c r="A23" t="s">
        <v>22</v>
      </c>
      <c r="B23" t="s">
        <v>135</v>
      </c>
      <c r="C23" t="str">
        <f t="shared" si="4"/>
        <v xml:space="preserve">Lata Sprite </v>
      </c>
      <c r="D23">
        <f t="shared" si="5"/>
        <v>1</v>
      </c>
      <c r="E23">
        <f t="shared" si="2"/>
        <v>870</v>
      </c>
      <c r="F23" s="2">
        <f t="shared" si="3"/>
        <v>870</v>
      </c>
    </row>
    <row r="24" spans="1:6" x14ac:dyDescent="0.25">
      <c r="A24" t="s">
        <v>23</v>
      </c>
      <c r="B24" t="s">
        <v>135</v>
      </c>
      <c r="C24" t="str">
        <f t="shared" si="4"/>
        <v xml:space="preserve">Pepsi 500cc </v>
      </c>
      <c r="D24">
        <f t="shared" si="5"/>
        <v>1</v>
      </c>
      <c r="E24" t="e">
        <f t="shared" si="2"/>
        <v>#VALUE!</v>
      </c>
      <c r="F24" s="2" t="e">
        <f t="shared" si="3"/>
        <v>#VALUE!</v>
      </c>
    </row>
    <row r="25" spans="1:6" x14ac:dyDescent="0.25">
      <c r="A25" t="s">
        <v>24</v>
      </c>
      <c r="B25" t="s">
        <v>135</v>
      </c>
      <c r="C25" t="str">
        <f t="shared" si="4"/>
        <v xml:space="preserve">Seven up 500cc </v>
      </c>
      <c r="D25">
        <f t="shared" si="5"/>
        <v>1</v>
      </c>
      <c r="E25" t="e">
        <f t="shared" si="2"/>
        <v>#VALUE!</v>
      </c>
      <c r="F25" s="2" t="e">
        <f t="shared" si="3"/>
        <v>#VALUE!</v>
      </c>
    </row>
    <row r="26" spans="1:6" x14ac:dyDescent="0.25">
      <c r="B26" t="s">
        <v>135</v>
      </c>
      <c r="C26" t="e">
        <f t="shared" si="4"/>
        <v>#VALUE!</v>
      </c>
      <c r="D26">
        <f t="shared" ref="D26:D89" si="6">IFERROR(VALUE(MID(A26,FIND("x",A26,1)+1,1)),1)</f>
        <v>1</v>
      </c>
      <c r="E26" t="e">
        <f t="shared" ref="E26:E89" si="7">VALUE(MID(A26,FIND("$",A26,1)+1,LEN(A26) - FIND("$",A26,1)   ))</f>
        <v>#VALUE!</v>
      </c>
      <c r="F26" s="2" t="e">
        <f t="shared" ref="F26:F89" si="8">E26 / D26</f>
        <v>#VALUE!</v>
      </c>
    </row>
    <row r="27" spans="1:6" x14ac:dyDescent="0.25">
      <c r="A27" t="s">
        <v>25</v>
      </c>
      <c r="B27" t="s">
        <v>135</v>
      </c>
      <c r="C27" t="e">
        <f t="shared" si="4"/>
        <v>#VALUE!</v>
      </c>
      <c r="D27">
        <f t="shared" si="6"/>
        <v>1</v>
      </c>
      <c r="E27" t="e">
        <f t="shared" si="7"/>
        <v>#VALUE!</v>
      </c>
      <c r="F27" s="2" t="e">
        <f t="shared" si="8"/>
        <v>#VALUE!</v>
      </c>
    </row>
    <row r="28" spans="1:6" x14ac:dyDescent="0.25">
      <c r="A28" t="s">
        <v>26</v>
      </c>
      <c r="B28" t="s">
        <v>135</v>
      </c>
      <c r="C28" t="str">
        <f t="shared" si="4"/>
        <v xml:space="preserve">Fresh  1,5  ×6         </v>
      </c>
      <c r="D28">
        <f t="shared" si="6"/>
        <v>1</v>
      </c>
      <c r="E28" t="e">
        <f t="shared" si="7"/>
        <v>#VALUE!</v>
      </c>
      <c r="F28" s="2" t="e">
        <f t="shared" si="8"/>
        <v>#VALUE!</v>
      </c>
    </row>
    <row r="29" spans="1:6" x14ac:dyDescent="0.25">
      <c r="A29" t="s">
        <v>27</v>
      </c>
      <c r="B29" t="s">
        <v>135</v>
      </c>
      <c r="C29" t="str">
        <f t="shared" si="4"/>
        <v xml:space="preserve">Levite 1.5 </v>
      </c>
      <c r="D29">
        <f t="shared" si="6"/>
        <v>6</v>
      </c>
      <c r="E29" t="e">
        <f t="shared" si="7"/>
        <v>#VALUE!</v>
      </c>
      <c r="F29" s="2" t="e">
        <f t="shared" si="8"/>
        <v>#VALUE!</v>
      </c>
    </row>
    <row r="30" spans="1:6" x14ac:dyDescent="0.25">
      <c r="A30" t="s">
        <v>28</v>
      </c>
      <c r="B30" t="s">
        <v>135</v>
      </c>
      <c r="C30" t="str">
        <f t="shared" si="4"/>
        <v xml:space="preserve">Placer 1,5L </v>
      </c>
      <c r="D30">
        <f t="shared" si="6"/>
        <v>6</v>
      </c>
      <c r="E30">
        <f t="shared" si="7"/>
        <v>750</v>
      </c>
      <c r="F30" s="2">
        <f t="shared" si="8"/>
        <v>125</v>
      </c>
    </row>
    <row r="31" spans="1:6" x14ac:dyDescent="0.25">
      <c r="A31" t="s">
        <v>29</v>
      </c>
      <c r="B31" t="s">
        <v>135</v>
      </c>
      <c r="C31" t="str">
        <f t="shared" si="4"/>
        <v xml:space="preserve">Placer 2.5L </v>
      </c>
      <c r="D31">
        <f t="shared" si="6"/>
        <v>6</v>
      </c>
      <c r="E31" t="e">
        <f t="shared" si="7"/>
        <v>#VALUE!</v>
      </c>
      <c r="F31" s="2" t="e">
        <f t="shared" si="8"/>
        <v>#VALUE!</v>
      </c>
    </row>
    <row r="32" spans="1:6" x14ac:dyDescent="0.25">
      <c r="A32" t="s">
        <v>30</v>
      </c>
      <c r="B32" t="s">
        <v>135</v>
      </c>
      <c r="C32" t="str">
        <f t="shared" si="4"/>
        <v xml:space="preserve">Placer chica </v>
      </c>
      <c r="D32">
        <f t="shared" si="6"/>
        <v>1</v>
      </c>
      <c r="E32">
        <f t="shared" si="7"/>
        <v>730</v>
      </c>
      <c r="F32" s="2">
        <f t="shared" si="8"/>
        <v>730</v>
      </c>
    </row>
    <row r="33" spans="1:6" x14ac:dyDescent="0.25">
      <c r="A33" t="s">
        <v>31</v>
      </c>
      <c r="B33" t="s">
        <v>135</v>
      </c>
      <c r="C33" t="str">
        <f t="shared" si="4"/>
        <v xml:space="preserve">Baggios 1L </v>
      </c>
      <c r="D33">
        <f t="shared" si="6"/>
        <v>8</v>
      </c>
      <c r="E33">
        <f t="shared" si="7"/>
        <v>1840</v>
      </c>
      <c r="F33" s="2">
        <f t="shared" si="8"/>
        <v>230</v>
      </c>
    </row>
    <row r="34" spans="1:6" x14ac:dyDescent="0.25">
      <c r="A34" t="s">
        <v>32</v>
      </c>
      <c r="B34" t="s">
        <v>135</v>
      </c>
      <c r="C34" t="str">
        <f t="shared" si="4"/>
        <v xml:space="preserve">Baggio </v>
      </c>
      <c r="D34">
        <f t="shared" si="6"/>
        <v>1</v>
      </c>
      <c r="E34">
        <f t="shared" si="7"/>
        <v>1360</v>
      </c>
      <c r="F34" s="2">
        <f t="shared" si="8"/>
        <v>1360</v>
      </c>
    </row>
    <row r="35" spans="1:6" x14ac:dyDescent="0.25">
      <c r="A35" t="s">
        <v>33</v>
      </c>
      <c r="B35" t="s">
        <v>135</v>
      </c>
      <c r="C35" t="str">
        <f t="shared" si="4"/>
        <v xml:space="preserve">Baggio fresh.tetra </v>
      </c>
      <c r="D35">
        <f t="shared" si="6"/>
        <v>8</v>
      </c>
      <c r="E35" t="e">
        <f t="shared" si="7"/>
        <v>#VALUE!</v>
      </c>
      <c r="F35" s="2" t="e">
        <f t="shared" si="8"/>
        <v>#VALUE!</v>
      </c>
    </row>
    <row r="36" spans="1:6" x14ac:dyDescent="0.25">
      <c r="A36" t="s">
        <v>34</v>
      </c>
      <c r="B36" t="s">
        <v>135</v>
      </c>
      <c r="C36" t="str">
        <f t="shared" si="4"/>
        <v>Baggio fresh.chico</v>
      </c>
      <c r="D36">
        <f t="shared" si="6"/>
        <v>1</v>
      </c>
      <c r="E36" t="e">
        <f t="shared" si="7"/>
        <v>#VALUE!</v>
      </c>
      <c r="F36" s="2" t="e">
        <f t="shared" si="8"/>
        <v>#VALUE!</v>
      </c>
    </row>
    <row r="37" spans="1:6" x14ac:dyDescent="0.25">
      <c r="A37" t="s">
        <v>35</v>
      </c>
      <c r="B37" t="s">
        <v>135</v>
      </c>
      <c r="C37" t="str">
        <f t="shared" si="4"/>
        <v xml:space="preserve">Pindapoy 1L </v>
      </c>
      <c r="D37">
        <f t="shared" si="6"/>
        <v>8</v>
      </c>
      <c r="E37">
        <f t="shared" si="7"/>
        <v>1490</v>
      </c>
      <c r="F37" s="2">
        <f t="shared" si="8"/>
        <v>186.25</v>
      </c>
    </row>
    <row r="38" spans="1:6" x14ac:dyDescent="0.25">
      <c r="A38" t="s">
        <v>36</v>
      </c>
      <c r="B38" t="s">
        <v>135</v>
      </c>
      <c r="C38" t="str">
        <f t="shared" si="4"/>
        <v xml:space="preserve">Gatorade 500ml </v>
      </c>
      <c r="D38">
        <f t="shared" si="6"/>
        <v>6</v>
      </c>
      <c r="E38" t="e">
        <f t="shared" si="7"/>
        <v>#VALUE!</v>
      </c>
      <c r="F38" s="2" t="e">
        <f t="shared" si="8"/>
        <v>#VALUE!</v>
      </c>
    </row>
    <row r="39" spans="1:6" x14ac:dyDescent="0.25">
      <c r="A39" t="s">
        <v>37</v>
      </c>
      <c r="B39" t="s">
        <v>135</v>
      </c>
      <c r="C39" t="str">
        <f t="shared" si="4"/>
        <v xml:space="preserve">Aquarius 500ml ×6 </v>
      </c>
      <c r="D39">
        <f t="shared" si="6"/>
        <v>1</v>
      </c>
      <c r="E39" t="e">
        <f t="shared" si="7"/>
        <v>#VALUE!</v>
      </c>
      <c r="F39" s="2" t="e">
        <f t="shared" si="8"/>
        <v>#VALUE!</v>
      </c>
    </row>
    <row r="40" spans="1:6" x14ac:dyDescent="0.25">
      <c r="A40" t="s">
        <v>38</v>
      </c>
      <c r="B40" t="s">
        <v>135</v>
      </c>
      <c r="C40" t="str">
        <f t="shared" si="4"/>
        <v>Rinde2 caja</v>
      </c>
      <c r="D40">
        <f t="shared" si="6"/>
        <v>2</v>
      </c>
      <c r="E40">
        <f t="shared" si="7"/>
        <v>900</v>
      </c>
      <c r="F40" s="2">
        <f t="shared" si="8"/>
        <v>450</v>
      </c>
    </row>
    <row r="41" spans="1:6" x14ac:dyDescent="0.25">
      <c r="A41" t="s">
        <v>39</v>
      </c>
      <c r="B41" t="s">
        <v>135</v>
      </c>
      <c r="C41" t="e">
        <f t="shared" si="4"/>
        <v>#VALUE!</v>
      </c>
      <c r="D41">
        <f t="shared" si="6"/>
        <v>1</v>
      </c>
      <c r="E41" t="e">
        <f t="shared" si="7"/>
        <v>#VALUE!</v>
      </c>
      <c r="F41" s="2" t="e">
        <f t="shared" si="8"/>
        <v>#VALUE!</v>
      </c>
    </row>
    <row r="42" spans="1:6" x14ac:dyDescent="0.25">
      <c r="A42" t="s">
        <v>40</v>
      </c>
      <c r="B42" t="s">
        <v>135</v>
      </c>
      <c r="C42" t="str">
        <f t="shared" si="4"/>
        <v xml:space="preserve">Soda manaos </v>
      </c>
      <c r="D42">
        <f t="shared" si="6"/>
        <v>6</v>
      </c>
      <c r="E42">
        <f t="shared" si="7"/>
        <v>960</v>
      </c>
      <c r="F42" s="2">
        <f t="shared" si="8"/>
        <v>160</v>
      </c>
    </row>
    <row r="43" spans="1:6" x14ac:dyDescent="0.25">
      <c r="A43" t="s">
        <v>41</v>
      </c>
      <c r="B43" t="s">
        <v>135</v>
      </c>
      <c r="C43" t="str">
        <f t="shared" si="4"/>
        <v>Agua Villamanaos 2L</v>
      </c>
      <c r="D43">
        <f t="shared" si="6"/>
        <v>6</v>
      </c>
      <c r="E43">
        <f t="shared" si="7"/>
        <v>540</v>
      </c>
      <c r="F43" s="2">
        <f t="shared" si="8"/>
        <v>90</v>
      </c>
    </row>
    <row r="44" spans="1:6" x14ac:dyDescent="0.25">
      <c r="A44" t="s">
        <v>42</v>
      </c>
      <c r="B44" t="s">
        <v>135</v>
      </c>
      <c r="C44" t="str">
        <f t="shared" si="4"/>
        <v xml:space="preserve">Agua corazón 1.5 ×6  </v>
      </c>
      <c r="D44">
        <f t="shared" si="6"/>
        <v>1</v>
      </c>
      <c r="E44" t="e">
        <f t="shared" si="7"/>
        <v>#VALUE!</v>
      </c>
      <c r="F44" s="2" t="e">
        <f t="shared" si="8"/>
        <v>#VALUE!</v>
      </c>
    </row>
    <row r="45" spans="1:6" x14ac:dyDescent="0.25">
      <c r="A45" t="s">
        <v>43</v>
      </c>
      <c r="B45" t="s">
        <v>135</v>
      </c>
      <c r="C45" t="str">
        <f t="shared" si="4"/>
        <v xml:space="preserve">Agua Villamanaos 600cc </v>
      </c>
      <c r="D45">
        <f t="shared" si="6"/>
        <v>1</v>
      </c>
      <c r="E45">
        <f t="shared" si="7"/>
        <v>580</v>
      </c>
      <c r="F45" s="2">
        <f t="shared" si="8"/>
        <v>580</v>
      </c>
    </row>
    <row r="46" spans="1:6" x14ac:dyDescent="0.25">
      <c r="A46" t="s">
        <v>44</v>
      </c>
      <c r="B46" t="s">
        <v>135</v>
      </c>
      <c r="C46" t="str">
        <f t="shared" si="4"/>
        <v xml:space="preserve">Agua bidón 6 litros  </v>
      </c>
      <c r="D46">
        <f t="shared" si="6"/>
        <v>1</v>
      </c>
      <c r="E46">
        <f t="shared" si="7"/>
        <v>320</v>
      </c>
      <c r="F46" s="2">
        <f t="shared" si="8"/>
        <v>320</v>
      </c>
    </row>
    <row r="47" spans="1:6" x14ac:dyDescent="0.25">
      <c r="A47" t="s">
        <v>45</v>
      </c>
      <c r="B47" t="s">
        <v>135</v>
      </c>
      <c r="C47" t="str">
        <f t="shared" si="4"/>
        <v xml:space="preserve">Agua villavicencio 1.5 </v>
      </c>
      <c r="D47">
        <f t="shared" si="6"/>
        <v>1</v>
      </c>
      <c r="E47" t="e">
        <f t="shared" si="7"/>
        <v>#VALUE!</v>
      </c>
      <c r="F47" s="2" t="e">
        <f t="shared" si="8"/>
        <v>#VALUE!</v>
      </c>
    </row>
    <row r="48" spans="1:6" x14ac:dyDescent="0.25">
      <c r="A48" t="s">
        <v>46</v>
      </c>
      <c r="B48" t="s">
        <v>135</v>
      </c>
      <c r="C48" t="str">
        <f t="shared" si="4"/>
        <v xml:space="preserve">_Agua glaciar </v>
      </c>
      <c r="D48">
        <f t="shared" si="6"/>
        <v>1</v>
      </c>
      <c r="E48" t="e">
        <f t="shared" si="7"/>
        <v>#VALUE!</v>
      </c>
      <c r="F48" s="2" t="e">
        <f t="shared" si="8"/>
        <v>#VALUE!</v>
      </c>
    </row>
    <row r="49" spans="1:6" x14ac:dyDescent="0.25">
      <c r="B49" t="s">
        <v>135</v>
      </c>
      <c r="C49" t="e">
        <f t="shared" si="4"/>
        <v>#VALUE!</v>
      </c>
      <c r="D49">
        <f t="shared" si="6"/>
        <v>1</v>
      </c>
      <c r="E49" t="e">
        <f t="shared" si="7"/>
        <v>#VALUE!</v>
      </c>
      <c r="F49" s="2" t="e">
        <f t="shared" si="8"/>
        <v>#VALUE!</v>
      </c>
    </row>
    <row r="50" spans="1:6" x14ac:dyDescent="0.25">
      <c r="A50" t="s">
        <v>47</v>
      </c>
      <c r="B50" t="s">
        <v>135</v>
      </c>
      <c r="C50" t="e">
        <f t="shared" si="4"/>
        <v>#VALUE!</v>
      </c>
      <c r="D50">
        <f t="shared" si="6"/>
        <v>1</v>
      </c>
      <c r="E50" t="e">
        <f t="shared" si="7"/>
        <v>#VALUE!</v>
      </c>
      <c r="F50" s="2" t="e">
        <f t="shared" si="8"/>
        <v>#VALUE!</v>
      </c>
    </row>
    <row r="51" spans="1:6" x14ac:dyDescent="0.25">
      <c r="A51" t="s">
        <v>48</v>
      </c>
      <c r="B51" t="s">
        <v>135</v>
      </c>
      <c r="C51" t="str">
        <f t="shared" si="4"/>
        <v xml:space="preserve">Speed </v>
      </c>
      <c r="D51">
        <f t="shared" si="6"/>
        <v>6</v>
      </c>
      <c r="E51">
        <f t="shared" si="7"/>
        <v>940</v>
      </c>
      <c r="F51" s="2">
        <f t="shared" si="8"/>
        <v>156.66666666666666</v>
      </c>
    </row>
    <row r="52" spans="1:6" x14ac:dyDescent="0.25">
      <c r="A52" t="s">
        <v>49</v>
      </c>
      <c r="B52" t="s">
        <v>135</v>
      </c>
      <c r="C52" t="str">
        <f t="shared" si="4"/>
        <v xml:space="preserve">Speed </v>
      </c>
      <c r="D52">
        <f t="shared" si="6"/>
        <v>1</v>
      </c>
      <c r="E52">
        <f t="shared" si="7"/>
        <v>1480</v>
      </c>
      <c r="F52" s="2">
        <f t="shared" si="8"/>
        <v>1480</v>
      </c>
    </row>
    <row r="53" spans="1:6" x14ac:dyDescent="0.25">
      <c r="A53" t="s">
        <v>50</v>
      </c>
      <c r="B53" t="s">
        <v>135</v>
      </c>
      <c r="C53" t="str">
        <f t="shared" si="4"/>
        <v xml:space="preserve">Smirnof c/u            </v>
      </c>
      <c r="D53">
        <f t="shared" si="6"/>
        <v>1</v>
      </c>
      <c r="E53">
        <f t="shared" si="7"/>
        <v>1400</v>
      </c>
      <c r="F53" s="2">
        <f t="shared" si="8"/>
        <v>1400</v>
      </c>
    </row>
    <row r="54" spans="1:6" x14ac:dyDescent="0.25">
      <c r="A54" t="s">
        <v>51</v>
      </c>
      <c r="B54" t="s">
        <v>135</v>
      </c>
      <c r="C54" t="str">
        <f t="shared" si="4"/>
        <v xml:space="preserve">Sernova  c/u        </v>
      </c>
      <c r="D54">
        <f t="shared" si="6"/>
        <v>1</v>
      </c>
      <c r="E54">
        <f t="shared" si="7"/>
        <v>980</v>
      </c>
      <c r="F54" s="2">
        <f t="shared" si="8"/>
        <v>980</v>
      </c>
    </row>
    <row r="55" spans="1:6" x14ac:dyDescent="0.25">
      <c r="A55" t="s">
        <v>52</v>
      </c>
      <c r="B55" t="s">
        <v>135</v>
      </c>
      <c r="C55" t="str">
        <f t="shared" si="4"/>
        <v xml:space="preserve">Sky c/u               </v>
      </c>
      <c r="D55">
        <f t="shared" si="6"/>
        <v>1</v>
      </c>
      <c r="E55">
        <f t="shared" si="7"/>
        <v>1400</v>
      </c>
      <c r="F55" s="2">
        <f t="shared" si="8"/>
        <v>1400</v>
      </c>
    </row>
    <row r="56" spans="1:6" x14ac:dyDescent="0.25">
      <c r="A56" t="s">
        <v>53</v>
      </c>
      <c r="B56" t="s">
        <v>135</v>
      </c>
      <c r="C56" t="str">
        <f t="shared" si="4"/>
        <v xml:space="preserve">Absolut c/u          </v>
      </c>
      <c r="D56">
        <f t="shared" si="6"/>
        <v>1</v>
      </c>
      <c r="E56" t="e">
        <f t="shared" si="7"/>
        <v>#VALUE!</v>
      </c>
      <c r="F56" s="2" t="e">
        <f t="shared" si="8"/>
        <v>#VALUE!</v>
      </c>
    </row>
    <row r="57" spans="1:6" x14ac:dyDescent="0.25">
      <c r="A57" t="s">
        <v>54</v>
      </c>
      <c r="B57" t="s">
        <v>135</v>
      </c>
      <c r="C57" t="str">
        <f t="shared" si="4"/>
        <v xml:space="preserve">_Gancia 1L c/u _       </v>
      </c>
      <c r="D57">
        <f t="shared" si="6"/>
        <v>1</v>
      </c>
      <c r="E57">
        <f t="shared" si="7"/>
        <v>680</v>
      </c>
      <c r="F57" s="2">
        <f t="shared" si="8"/>
        <v>680</v>
      </c>
    </row>
    <row r="58" spans="1:6" x14ac:dyDescent="0.25">
      <c r="A58" t="s">
        <v>55</v>
      </c>
      <c r="B58" t="s">
        <v>135</v>
      </c>
      <c r="C58" t="str">
        <f t="shared" si="4"/>
        <v xml:space="preserve">Campari c/u           </v>
      </c>
      <c r="D58">
        <f t="shared" si="6"/>
        <v>1</v>
      </c>
      <c r="E58">
        <f t="shared" si="7"/>
        <v>980</v>
      </c>
      <c r="F58" s="2">
        <f t="shared" si="8"/>
        <v>980</v>
      </c>
    </row>
    <row r="59" spans="1:6" x14ac:dyDescent="0.25">
      <c r="A59" t="s">
        <v>56</v>
      </c>
      <c r="B59" t="s">
        <v>135</v>
      </c>
      <c r="C59" t="str">
        <f t="shared" si="4"/>
        <v xml:space="preserve">Dr Lemon XL c/u    </v>
      </c>
      <c r="D59">
        <f t="shared" si="6"/>
        <v>1</v>
      </c>
      <c r="E59">
        <f t="shared" si="7"/>
        <v>380</v>
      </c>
      <c r="F59" s="2">
        <f t="shared" si="8"/>
        <v>380</v>
      </c>
    </row>
    <row r="60" spans="1:6" x14ac:dyDescent="0.25">
      <c r="A60" t="s">
        <v>57</v>
      </c>
      <c r="B60" t="s">
        <v>135</v>
      </c>
      <c r="C60" t="str">
        <f t="shared" si="4"/>
        <v xml:space="preserve">Lata Dr Lemon </v>
      </c>
      <c r="D60">
        <f t="shared" si="6"/>
        <v>6</v>
      </c>
      <c r="E60" t="e">
        <f t="shared" si="7"/>
        <v>#VALUE!</v>
      </c>
      <c r="F60" s="2" t="e">
        <f t="shared" si="8"/>
        <v>#VALUE!</v>
      </c>
    </row>
    <row r="61" spans="1:6" x14ac:dyDescent="0.25">
      <c r="A61" t="s">
        <v>58</v>
      </c>
      <c r="B61" t="s">
        <v>135</v>
      </c>
      <c r="C61" t="str">
        <f t="shared" si="4"/>
        <v xml:space="preserve">Fresitac/u     </v>
      </c>
      <c r="D61">
        <f t="shared" si="6"/>
        <v>1</v>
      </c>
      <c r="E61">
        <f t="shared" si="7"/>
        <v>1200</v>
      </c>
      <c r="F61" s="2">
        <f t="shared" si="8"/>
        <v>1200</v>
      </c>
    </row>
    <row r="62" spans="1:6" x14ac:dyDescent="0.25">
      <c r="A62" t="s">
        <v>59</v>
      </c>
      <c r="B62" t="s">
        <v>135</v>
      </c>
      <c r="C62" t="str">
        <f t="shared" si="4"/>
        <v xml:space="preserve">Fernet 750cc c/u _   </v>
      </c>
      <c r="D62">
        <f t="shared" si="6"/>
        <v>1</v>
      </c>
      <c r="E62" t="e">
        <f t="shared" si="7"/>
        <v>#VALUE!</v>
      </c>
      <c r="F62" s="2" t="e">
        <f t="shared" si="8"/>
        <v>#VALUE!</v>
      </c>
    </row>
    <row r="63" spans="1:6" x14ac:dyDescent="0.25">
      <c r="A63" t="s">
        <v>60</v>
      </c>
      <c r="B63" t="s">
        <v>135</v>
      </c>
      <c r="C63" t="str">
        <f t="shared" si="4"/>
        <v xml:space="preserve">Fernet litro         </v>
      </c>
      <c r="D63">
        <f t="shared" si="6"/>
        <v>1</v>
      </c>
      <c r="E63" t="e">
        <f t="shared" si="7"/>
        <v>#VALUE!</v>
      </c>
      <c r="F63" s="2" t="e">
        <f t="shared" si="8"/>
        <v>#VALUE!</v>
      </c>
    </row>
    <row r="64" spans="1:6" x14ac:dyDescent="0.25">
      <c r="A64" t="s">
        <v>61</v>
      </c>
      <c r="B64" t="s">
        <v>135</v>
      </c>
      <c r="C64" t="str">
        <f t="shared" si="4"/>
        <v xml:space="preserve">Fernet 450cc.       </v>
      </c>
      <c r="D64">
        <f t="shared" si="6"/>
        <v>1</v>
      </c>
      <c r="E64">
        <f t="shared" si="7"/>
        <v>1350</v>
      </c>
      <c r="F64" s="2">
        <f t="shared" si="8"/>
        <v>1350</v>
      </c>
    </row>
    <row r="65" spans="1:6" x14ac:dyDescent="0.25">
      <c r="A65" t="s">
        <v>62</v>
      </c>
      <c r="B65" t="s">
        <v>135</v>
      </c>
      <c r="C65" t="str">
        <f t="shared" si="4"/>
        <v xml:space="preserve">Federico Alvear 📦 </v>
      </c>
      <c r="D65">
        <f t="shared" si="6"/>
        <v>1</v>
      </c>
      <c r="E65">
        <f t="shared" si="7"/>
        <v>3900</v>
      </c>
      <c r="F65" s="2">
        <f t="shared" si="8"/>
        <v>3900</v>
      </c>
    </row>
    <row r="66" spans="1:6" x14ac:dyDescent="0.25">
      <c r="A66" t="s">
        <v>63</v>
      </c>
      <c r="B66" t="s">
        <v>135</v>
      </c>
      <c r="C66" t="str">
        <f t="shared" si="4"/>
        <v xml:space="preserve">Frezze </v>
      </c>
      <c r="D66">
        <f t="shared" si="6"/>
        <v>6</v>
      </c>
      <c r="E66">
        <f t="shared" si="7"/>
        <v>2000</v>
      </c>
      <c r="F66" s="2">
        <f t="shared" si="8"/>
        <v>333.33333333333331</v>
      </c>
    </row>
    <row r="67" spans="1:6" x14ac:dyDescent="0.25">
      <c r="A67" t="s">
        <v>64</v>
      </c>
      <c r="B67" t="s">
        <v>135</v>
      </c>
      <c r="C67" t="str">
        <f t="shared" si="4"/>
        <v xml:space="preserve">Fernandito </v>
      </c>
      <c r="D67">
        <f t="shared" si="6"/>
        <v>6</v>
      </c>
      <c r="E67" t="e">
        <f t="shared" si="7"/>
        <v>#VALUE!</v>
      </c>
      <c r="F67" s="2" t="e">
        <f t="shared" si="8"/>
        <v>#VALUE!</v>
      </c>
    </row>
    <row r="68" spans="1:6" x14ac:dyDescent="0.25">
      <c r="A68" t="s">
        <v>65</v>
      </c>
      <c r="B68" t="s">
        <v>135</v>
      </c>
      <c r="C68" t="str">
        <f t="shared" si="4"/>
        <v xml:space="preserve">Petacas criadores  </v>
      </c>
      <c r="D68">
        <f t="shared" si="6"/>
        <v>1</v>
      </c>
      <c r="E68" t="e">
        <f t="shared" si="7"/>
        <v>#VALUE!</v>
      </c>
      <c r="F68" s="2" t="e">
        <f t="shared" si="8"/>
        <v>#VALUE!</v>
      </c>
    </row>
    <row r="69" spans="1:6" x14ac:dyDescent="0.25">
      <c r="A69" t="s">
        <v>66</v>
      </c>
      <c r="B69" t="s">
        <v>135</v>
      </c>
      <c r="C69" t="str">
        <f t="shared" si="4"/>
        <v>Licores 750 tres plumas</v>
      </c>
      <c r="D69">
        <f t="shared" si="6"/>
        <v>1</v>
      </c>
      <c r="E69" t="e">
        <f t="shared" si="7"/>
        <v>#VALUE!</v>
      </c>
      <c r="F69" s="2" t="e">
        <f t="shared" si="8"/>
        <v>#VALUE!</v>
      </c>
    </row>
    <row r="70" spans="1:6" x14ac:dyDescent="0.25">
      <c r="A70" t="s">
        <v>67</v>
      </c>
      <c r="B70" t="s">
        <v>135</v>
      </c>
      <c r="C70" t="str">
        <f t="shared" ref="C70:C133" si="9">IFERROR( MID(A70,1,FIND("x",A70,1) - 1), MID(A70,1,FIND("$",A70,1) - 1))</f>
        <v xml:space="preserve">Criadores 750ml </v>
      </c>
      <c r="D70">
        <f t="shared" si="6"/>
        <v>1</v>
      </c>
      <c r="E70" t="e">
        <f t="shared" si="7"/>
        <v>#VALUE!</v>
      </c>
      <c r="F70" s="2" t="e">
        <f t="shared" si="8"/>
        <v>#VALUE!</v>
      </c>
    </row>
    <row r="71" spans="1:6" x14ac:dyDescent="0.25">
      <c r="A71" t="s">
        <v>68</v>
      </c>
      <c r="B71" t="s">
        <v>135</v>
      </c>
      <c r="C71" t="str">
        <f t="shared" si="9"/>
        <v xml:space="preserve">Petakon  </v>
      </c>
      <c r="D71">
        <f t="shared" si="6"/>
        <v>1</v>
      </c>
      <c r="E71" t="e">
        <f t="shared" si="7"/>
        <v>#VALUE!</v>
      </c>
      <c r="F71" s="2" t="e">
        <f t="shared" si="8"/>
        <v>#VALUE!</v>
      </c>
    </row>
    <row r="72" spans="1:6" x14ac:dyDescent="0.25">
      <c r="A72" t="s">
        <v>69</v>
      </c>
      <c r="B72" t="s">
        <v>135</v>
      </c>
      <c r="C72" t="str">
        <f t="shared" si="9"/>
        <v xml:space="preserve">Sidra del valle </v>
      </c>
      <c r="D72">
        <f t="shared" si="6"/>
        <v>1</v>
      </c>
      <c r="E72" t="e">
        <f t="shared" si="7"/>
        <v>#VALUE!</v>
      </c>
      <c r="F72" s="2" t="e">
        <f t="shared" si="8"/>
        <v>#VALUE!</v>
      </c>
    </row>
    <row r="73" spans="1:6" x14ac:dyDescent="0.25">
      <c r="A73" t="s">
        <v>70</v>
      </c>
      <c r="B73" t="s">
        <v>135</v>
      </c>
      <c r="C73" t="str">
        <f t="shared" si="9"/>
        <v xml:space="preserve">Sidra tunuyan </v>
      </c>
      <c r="D73">
        <f t="shared" si="6"/>
        <v>1</v>
      </c>
      <c r="E73">
        <f t="shared" si="7"/>
        <v>2000</v>
      </c>
      <c r="F73" s="2">
        <f t="shared" si="8"/>
        <v>2000</v>
      </c>
    </row>
    <row r="74" spans="1:6" x14ac:dyDescent="0.25">
      <c r="A74" t="s">
        <v>71</v>
      </c>
      <c r="B74" t="s">
        <v>135</v>
      </c>
      <c r="C74" t="str">
        <f t="shared" si="9"/>
        <v>Ananá fizz tunuyan</v>
      </c>
      <c r="D74">
        <f t="shared" si="6"/>
        <v>1</v>
      </c>
      <c r="E74" t="e">
        <f t="shared" si="7"/>
        <v>#VALUE!</v>
      </c>
      <c r="F74" s="2" t="e">
        <f t="shared" si="8"/>
        <v>#VALUE!</v>
      </c>
    </row>
    <row r="75" spans="1:6" x14ac:dyDescent="0.25">
      <c r="A75" t="s">
        <v>72</v>
      </c>
      <c r="B75" t="s">
        <v>135</v>
      </c>
      <c r="C75" t="str">
        <f t="shared" si="9"/>
        <v xml:space="preserve">Lata frizze </v>
      </c>
      <c r="D75">
        <f t="shared" si="6"/>
        <v>1</v>
      </c>
      <c r="E75" t="e">
        <f t="shared" si="7"/>
        <v>#VALUE!</v>
      </c>
      <c r="F75" s="2" t="e">
        <f t="shared" si="8"/>
        <v>#VALUE!</v>
      </c>
    </row>
    <row r="76" spans="1:6" x14ac:dyDescent="0.25">
      <c r="A76" t="s">
        <v>73</v>
      </c>
      <c r="B76" t="s">
        <v>135</v>
      </c>
      <c r="C76" t="str">
        <f t="shared" si="9"/>
        <v xml:space="preserve">Lata smirnoff ×6 </v>
      </c>
      <c r="D76">
        <f t="shared" si="6"/>
        <v>1</v>
      </c>
      <c r="E76" t="e">
        <f t="shared" si="7"/>
        <v>#VALUE!</v>
      </c>
      <c r="F76" s="2" t="e">
        <f t="shared" si="8"/>
        <v>#VALUE!</v>
      </c>
    </row>
    <row r="77" spans="1:6" x14ac:dyDescent="0.25">
      <c r="B77" t="s">
        <v>135</v>
      </c>
      <c r="C77" t="e">
        <f t="shared" si="9"/>
        <v>#VALUE!</v>
      </c>
      <c r="D77">
        <f t="shared" si="6"/>
        <v>1</v>
      </c>
      <c r="E77" t="e">
        <f t="shared" si="7"/>
        <v>#VALUE!</v>
      </c>
      <c r="F77" s="2" t="e">
        <f t="shared" si="8"/>
        <v>#VALUE!</v>
      </c>
    </row>
    <row r="78" spans="1:6" x14ac:dyDescent="0.25">
      <c r="B78" t="s">
        <v>135</v>
      </c>
      <c r="C78" t="e">
        <f t="shared" si="9"/>
        <v>#VALUE!</v>
      </c>
      <c r="D78">
        <f t="shared" si="6"/>
        <v>1</v>
      </c>
      <c r="E78" t="e">
        <f t="shared" si="7"/>
        <v>#VALUE!</v>
      </c>
      <c r="F78" s="2" t="e">
        <f t="shared" si="8"/>
        <v>#VALUE!</v>
      </c>
    </row>
    <row r="79" spans="1:6" x14ac:dyDescent="0.25">
      <c r="A79" t="s">
        <v>74</v>
      </c>
      <c r="B79" t="s">
        <v>135</v>
      </c>
      <c r="C79" t="e">
        <f t="shared" si="9"/>
        <v>#VALUE!</v>
      </c>
      <c r="D79">
        <f t="shared" si="6"/>
        <v>1</v>
      </c>
      <c r="E79" t="e">
        <f t="shared" si="7"/>
        <v>#VALUE!</v>
      </c>
      <c r="F79" s="2" t="e">
        <f t="shared" si="8"/>
        <v>#VALUE!</v>
      </c>
    </row>
    <row r="80" spans="1:6" x14ac:dyDescent="0.25">
      <c r="A80" t="s">
        <v>75</v>
      </c>
      <c r="B80" t="s">
        <v>135</v>
      </c>
      <c r="C80" t="e">
        <f t="shared" si="9"/>
        <v>#VALUE!</v>
      </c>
      <c r="D80">
        <f t="shared" si="6"/>
        <v>1</v>
      </c>
      <c r="E80" t="e">
        <f t="shared" si="7"/>
        <v>#VALUE!</v>
      </c>
      <c r="F80" s="2" t="e">
        <f t="shared" si="8"/>
        <v>#VALUE!</v>
      </c>
    </row>
    <row r="81" spans="1:6" x14ac:dyDescent="0.25">
      <c r="A81" t="s">
        <v>76</v>
      </c>
      <c r="B81" t="s">
        <v>135</v>
      </c>
      <c r="C81" t="str">
        <f t="shared" si="9"/>
        <v xml:space="preserve">_Termidor </v>
      </c>
      <c r="D81">
        <f t="shared" si="6"/>
        <v>1</v>
      </c>
      <c r="E81">
        <f t="shared" si="7"/>
        <v>3950</v>
      </c>
      <c r="F81" s="2">
        <f t="shared" si="8"/>
        <v>3950</v>
      </c>
    </row>
    <row r="82" spans="1:6" x14ac:dyDescent="0.25">
      <c r="A82" t="s">
        <v>77</v>
      </c>
      <c r="B82" t="s">
        <v>135</v>
      </c>
      <c r="C82" t="str">
        <f t="shared" si="9"/>
        <v xml:space="preserve">Uvita T </v>
      </c>
      <c r="D82">
        <f t="shared" si="6"/>
        <v>1</v>
      </c>
      <c r="E82">
        <f t="shared" si="7"/>
        <v>3980</v>
      </c>
      <c r="F82" s="2">
        <f t="shared" si="8"/>
        <v>3980</v>
      </c>
    </row>
    <row r="83" spans="1:6" x14ac:dyDescent="0.25">
      <c r="A83" t="s">
        <v>78</v>
      </c>
      <c r="B83" t="s">
        <v>135</v>
      </c>
      <c r="C83" t="str">
        <f t="shared" si="9"/>
        <v xml:space="preserve">Uvita B </v>
      </c>
      <c r="D83">
        <f t="shared" si="6"/>
        <v>1</v>
      </c>
      <c r="E83">
        <f t="shared" si="7"/>
        <v>3980</v>
      </c>
      <c r="F83" s="2">
        <f t="shared" si="8"/>
        <v>3980</v>
      </c>
    </row>
    <row r="84" spans="1:6" x14ac:dyDescent="0.25">
      <c r="A84" t="s">
        <v>79</v>
      </c>
      <c r="B84" t="s">
        <v>135</v>
      </c>
      <c r="C84" t="str">
        <f t="shared" si="9"/>
        <v xml:space="preserve">Manojo de uvas T </v>
      </c>
      <c r="D84">
        <f t="shared" si="6"/>
        <v>1</v>
      </c>
      <c r="E84">
        <f t="shared" si="7"/>
        <v>2690</v>
      </c>
      <c r="F84" s="2">
        <f t="shared" si="8"/>
        <v>2690</v>
      </c>
    </row>
    <row r="85" spans="1:6" x14ac:dyDescent="0.25">
      <c r="A85" t="s">
        <v>80</v>
      </c>
      <c r="B85" t="s">
        <v>135</v>
      </c>
      <c r="C85" t="str">
        <f t="shared" si="9"/>
        <v xml:space="preserve">Manojo de uvas B </v>
      </c>
      <c r="D85">
        <f t="shared" si="6"/>
        <v>1</v>
      </c>
      <c r="E85">
        <f t="shared" si="7"/>
        <v>2350</v>
      </c>
      <c r="F85" s="2">
        <f t="shared" si="8"/>
        <v>2350</v>
      </c>
    </row>
    <row r="86" spans="1:6" x14ac:dyDescent="0.25">
      <c r="A86" t="s">
        <v>81</v>
      </c>
      <c r="B86" t="s">
        <v>135</v>
      </c>
      <c r="C86" t="str">
        <f t="shared" si="9"/>
        <v xml:space="preserve">Manojo de uvas BD </v>
      </c>
      <c r="D86">
        <f t="shared" si="6"/>
        <v>1</v>
      </c>
      <c r="E86" t="e">
        <f t="shared" si="7"/>
        <v>#VALUE!</v>
      </c>
      <c r="F86" s="2" t="e">
        <f t="shared" si="8"/>
        <v>#VALUE!</v>
      </c>
    </row>
    <row r="87" spans="1:6" x14ac:dyDescent="0.25">
      <c r="B87" t="s">
        <v>135</v>
      </c>
      <c r="C87" t="e">
        <f t="shared" si="9"/>
        <v>#VALUE!</v>
      </c>
      <c r="D87">
        <f t="shared" si="6"/>
        <v>1</v>
      </c>
      <c r="E87" t="e">
        <f t="shared" si="7"/>
        <v>#VALUE!</v>
      </c>
      <c r="F87" s="2" t="e">
        <f t="shared" si="8"/>
        <v>#VALUE!</v>
      </c>
    </row>
    <row r="88" spans="1:6" x14ac:dyDescent="0.25">
      <c r="A88" t="s">
        <v>82</v>
      </c>
      <c r="B88" t="s">
        <v>135</v>
      </c>
      <c r="C88" t="e">
        <f t="shared" si="9"/>
        <v>#VALUE!</v>
      </c>
      <c r="D88">
        <f t="shared" si="6"/>
        <v>1</v>
      </c>
      <c r="E88" t="e">
        <f t="shared" si="7"/>
        <v>#VALUE!</v>
      </c>
      <c r="F88" s="2" t="e">
        <f t="shared" si="8"/>
        <v>#VALUE!</v>
      </c>
    </row>
    <row r="89" spans="1:6" x14ac:dyDescent="0.25">
      <c r="A89" t="s">
        <v>83</v>
      </c>
      <c r="B89" t="s">
        <v>135</v>
      </c>
      <c r="C89" t="str">
        <f t="shared" si="9"/>
        <v xml:space="preserve">Viñas de Balbo </v>
      </c>
      <c r="D89">
        <f t="shared" si="6"/>
        <v>6</v>
      </c>
      <c r="E89">
        <f t="shared" si="7"/>
        <v>2450</v>
      </c>
      <c r="F89" s="2">
        <f t="shared" si="8"/>
        <v>408.33333333333331</v>
      </c>
    </row>
    <row r="90" spans="1:6" x14ac:dyDescent="0.25">
      <c r="A90" t="s">
        <v>84</v>
      </c>
      <c r="B90" t="s">
        <v>135</v>
      </c>
      <c r="C90" t="str">
        <f t="shared" si="9"/>
        <v xml:space="preserve">Viñas de alvear  </v>
      </c>
      <c r="D90">
        <f t="shared" ref="D90:D145" si="10">IFERROR(VALUE(MID(A90,FIND("x",A90,1)+1,1)),1)</f>
        <v>1</v>
      </c>
      <c r="E90">
        <f t="shared" ref="E90:E145" si="11">VALUE(MID(A90,FIND("$",A90,1)+1,LEN(A90) - FIND("$",A90,1)   ))</f>
        <v>2680</v>
      </c>
      <c r="F90" s="2">
        <f t="shared" ref="F90:F145" si="12">E90 / D90</f>
        <v>2680</v>
      </c>
    </row>
    <row r="91" spans="1:6" x14ac:dyDescent="0.25">
      <c r="A91" t="s">
        <v>85</v>
      </c>
      <c r="B91" t="s">
        <v>135</v>
      </c>
      <c r="C91" t="str">
        <f t="shared" si="9"/>
        <v xml:space="preserve">Cabarceno patero ×6 1.25L </v>
      </c>
      <c r="D91">
        <f t="shared" si="10"/>
        <v>1</v>
      </c>
      <c r="E91">
        <f t="shared" si="11"/>
        <v>2650</v>
      </c>
      <c r="F91" s="2">
        <f t="shared" si="12"/>
        <v>2650</v>
      </c>
    </row>
    <row r="92" spans="1:6" x14ac:dyDescent="0.25">
      <c r="A92" t="s">
        <v>86</v>
      </c>
      <c r="B92" t="s">
        <v>135</v>
      </c>
      <c r="C92" t="str">
        <f t="shared" si="9"/>
        <v xml:space="preserve">Viñas San Pedro </v>
      </c>
      <c r="D92">
        <f t="shared" si="10"/>
        <v>6</v>
      </c>
      <c r="E92">
        <f t="shared" si="11"/>
        <v>1900</v>
      </c>
      <c r="F92" s="2">
        <f t="shared" si="12"/>
        <v>316.66666666666669</v>
      </c>
    </row>
    <row r="93" spans="1:6" x14ac:dyDescent="0.25">
      <c r="A93" t="s">
        <v>87</v>
      </c>
      <c r="B93" t="s">
        <v>135</v>
      </c>
      <c r="C93" t="str">
        <f t="shared" si="9"/>
        <v xml:space="preserve">Salonera  1.25 </v>
      </c>
      <c r="D93">
        <f t="shared" si="10"/>
        <v>6</v>
      </c>
      <c r="E93">
        <f t="shared" si="11"/>
        <v>1500</v>
      </c>
      <c r="F93" s="2">
        <f t="shared" si="12"/>
        <v>250</v>
      </c>
    </row>
    <row r="94" spans="1:6" x14ac:dyDescent="0.25">
      <c r="B94" t="s">
        <v>135</v>
      </c>
      <c r="C94" t="e">
        <f t="shared" si="9"/>
        <v>#VALUE!</v>
      </c>
      <c r="D94">
        <f t="shared" si="10"/>
        <v>1</v>
      </c>
      <c r="E94" t="e">
        <f t="shared" si="11"/>
        <v>#VALUE!</v>
      </c>
      <c r="F94" s="2" t="e">
        <f t="shared" si="12"/>
        <v>#VALUE!</v>
      </c>
    </row>
    <row r="95" spans="1:6" x14ac:dyDescent="0.25">
      <c r="A95" t="s">
        <v>88</v>
      </c>
      <c r="B95" t="s">
        <v>135</v>
      </c>
      <c r="C95" t="e">
        <f t="shared" si="9"/>
        <v>#VALUE!</v>
      </c>
      <c r="D95">
        <f t="shared" si="10"/>
        <v>1</v>
      </c>
      <c r="E95" t="e">
        <f t="shared" si="11"/>
        <v>#VALUE!</v>
      </c>
      <c r="F95" s="2" t="e">
        <f t="shared" si="12"/>
        <v>#VALUE!</v>
      </c>
    </row>
    <row r="96" spans="1:6" x14ac:dyDescent="0.25">
      <c r="A96" t="s">
        <v>89</v>
      </c>
      <c r="B96" t="s">
        <v>135</v>
      </c>
      <c r="C96" t="str">
        <f t="shared" si="9"/>
        <v xml:space="preserve">Nampe </v>
      </c>
      <c r="D96">
        <f t="shared" si="10"/>
        <v>6</v>
      </c>
      <c r="E96">
        <f t="shared" si="11"/>
        <v>2500</v>
      </c>
      <c r="F96" s="2">
        <f t="shared" si="12"/>
        <v>416.66666666666669</v>
      </c>
    </row>
    <row r="97" spans="1:6" x14ac:dyDescent="0.25">
      <c r="A97" t="s">
        <v>90</v>
      </c>
      <c r="B97" t="s">
        <v>135</v>
      </c>
      <c r="C97" t="str">
        <f t="shared" si="9"/>
        <v>Cosecha Tardia blanco</v>
      </c>
      <c r="D97">
        <f t="shared" si="10"/>
        <v>1</v>
      </c>
      <c r="E97">
        <f t="shared" si="11"/>
        <v>3500</v>
      </c>
      <c r="F97" s="2">
        <f t="shared" si="12"/>
        <v>3500</v>
      </c>
    </row>
    <row r="98" spans="1:6" x14ac:dyDescent="0.25">
      <c r="A98" t="s">
        <v>91</v>
      </c>
      <c r="B98" t="s">
        <v>135</v>
      </c>
      <c r="C98" t="str">
        <f t="shared" si="9"/>
        <v xml:space="preserve">New Age blanco </v>
      </c>
      <c r="D98">
        <f t="shared" si="10"/>
        <v>1</v>
      </c>
      <c r="E98" t="e">
        <f t="shared" si="11"/>
        <v>#VALUE!</v>
      </c>
      <c r="F98" s="2" t="e">
        <f t="shared" si="12"/>
        <v>#VALUE!</v>
      </c>
    </row>
    <row r="99" spans="1:6" x14ac:dyDescent="0.25">
      <c r="A99" t="s">
        <v>92</v>
      </c>
      <c r="B99" t="s">
        <v>135</v>
      </c>
      <c r="C99" t="str">
        <f t="shared" si="9"/>
        <v xml:space="preserve">Quara blanco dulce </v>
      </c>
      <c r="D99">
        <f t="shared" si="10"/>
        <v>1</v>
      </c>
      <c r="E99" t="e">
        <f t="shared" si="11"/>
        <v>#VALUE!</v>
      </c>
      <c r="F99" s="2" t="e">
        <f t="shared" si="12"/>
        <v>#VALUE!</v>
      </c>
    </row>
    <row r="100" spans="1:6" x14ac:dyDescent="0.25">
      <c r="A100" t="s">
        <v>93</v>
      </c>
      <c r="B100" t="s">
        <v>135</v>
      </c>
      <c r="C100" t="str">
        <f t="shared" si="9"/>
        <v xml:space="preserve">Quara tinto </v>
      </c>
      <c r="D100">
        <f t="shared" si="10"/>
        <v>1</v>
      </c>
      <c r="E100">
        <f t="shared" si="11"/>
        <v>2000</v>
      </c>
      <c r="F100" s="2">
        <f t="shared" si="12"/>
        <v>2000</v>
      </c>
    </row>
    <row r="101" spans="1:6" x14ac:dyDescent="0.25">
      <c r="A101" t="s">
        <v>94</v>
      </c>
      <c r="B101" t="s">
        <v>135</v>
      </c>
      <c r="C101" t="str">
        <f t="shared" si="9"/>
        <v>Chinvengüencha Red</v>
      </c>
      <c r="D101">
        <f t="shared" si="10"/>
        <v>1</v>
      </c>
      <c r="E101" t="e">
        <f t="shared" si="11"/>
        <v>#VALUE!</v>
      </c>
      <c r="F101" s="2" t="e">
        <f t="shared" si="12"/>
        <v>#VALUE!</v>
      </c>
    </row>
    <row r="102" spans="1:6" x14ac:dyDescent="0.25">
      <c r="A102" t="s">
        <v>95</v>
      </c>
      <c r="B102" t="s">
        <v>135</v>
      </c>
      <c r="C102" t="str">
        <f t="shared" si="9"/>
        <v xml:space="preserve">Dada Malbec </v>
      </c>
      <c r="D102">
        <f t="shared" si="10"/>
        <v>1</v>
      </c>
      <c r="E102">
        <f t="shared" si="11"/>
        <v>3900</v>
      </c>
      <c r="F102" s="2">
        <f t="shared" si="12"/>
        <v>3900</v>
      </c>
    </row>
    <row r="103" spans="1:6" x14ac:dyDescent="0.25">
      <c r="A103" t="s">
        <v>96</v>
      </c>
      <c r="B103" t="s">
        <v>135</v>
      </c>
      <c r="C103" t="str">
        <f t="shared" si="9"/>
        <v xml:space="preserve">Finca de las moras </v>
      </c>
      <c r="D103">
        <f t="shared" si="10"/>
        <v>1</v>
      </c>
      <c r="E103" t="e">
        <f t="shared" si="11"/>
        <v>#VALUE!</v>
      </c>
      <c r="F103" s="2" t="e">
        <f t="shared" si="12"/>
        <v>#VALUE!</v>
      </c>
    </row>
    <row r="104" spans="1:6" x14ac:dyDescent="0.25">
      <c r="A104" t="s">
        <v>97</v>
      </c>
      <c r="B104" t="s">
        <v>135</v>
      </c>
      <c r="C104" t="str">
        <f t="shared" si="9"/>
        <v>Alma Mora</v>
      </c>
      <c r="D104">
        <f t="shared" si="10"/>
        <v>1</v>
      </c>
      <c r="E104">
        <f t="shared" si="11"/>
        <v>4000</v>
      </c>
      <c r="F104" s="2">
        <f t="shared" si="12"/>
        <v>4000</v>
      </c>
    </row>
    <row r="105" spans="1:6" x14ac:dyDescent="0.25">
      <c r="A105" t="s">
        <v>98</v>
      </c>
      <c r="B105" t="s">
        <v>135</v>
      </c>
      <c r="C105" t="str">
        <f t="shared" si="9"/>
        <v xml:space="preserve">Don Valentín </v>
      </c>
      <c r="D105">
        <f t="shared" si="10"/>
        <v>1</v>
      </c>
      <c r="E105">
        <f t="shared" si="11"/>
        <v>2400</v>
      </c>
      <c r="F105" s="2">
        <f t="shared" si="12"/>
        <v>2400</v>
      </c>
    </row>
    <row r="106" spans="1:6" x14ac:dyDescent="0.25">
      <c r="A106" t="s">
        <v>99</v>
      </c>
      <c r="B106" t="s">
        <v>135</v>
      </c>
      <c r="C106" t="str">
        <f t="shared" si="9"/>
        <v xml:space="preserve">Michel tinto 750ml </v>
      </c>
      <c r="D106">
        <f t="shared" si="10"/>
        <v>6</v>
      </c>
      <c r="E106">
        <f t="shared" si="11"/>
        <v>1550</v>
      </c>
      <c r="F106" s="2">
        <f t="shared" si="12"/>
        <v>258.33333333333331</v>
      </c>
    </row>
    <row r="107" spans="1:6" x14ac:dyDescent="0.25">
      <c r="A107" t="s">
        <v>100</v>
      </c>
      <c r="B107" t="s">
        <v>135</v>
      </c>
      <c r="C107" t="str">
        <f t="shared" si="9"/>
        <v xml:space="preserve">Norton tinto </v>
      </c>
      <c r="D107">
        <f t="shared" si="10"/>
        <v>6</v>
      </c>
      <c r="E107">
        <f t="shared" si="11"/>
        <v>1800</v>
      </c>
      <c r="F107" s="2">
        <f t="shared" si="12"/>
        <v>300</v>
      </c>
    </row>
    <row r="108" spans="1:6" x14ac:dyDescent="0.25">
      <c r="A108" t="s">
        <v>101</v>
      </c>
      <c r="B108" t="s">
        <v>135</v>
      </c>
      <c r="C108" t="str">
        <f t="shared" si="9"/>
        <v xml:space="preserve">Otro Loco Mas malbec </v>
      </c>
      <c r="D108">
        <f t="shared" si="10"/>
        <v>1</v>
      </c>
      <c r="E108">
        <f t="shared" si="11"/>
        <v>3300</v>
      </c>
      <c r="F108" s="2">
        <f t="shared" si="12"/>
        <v>3300</v>
      </c>
    </row>
    <row r="109" spans="1:6" x14ac:dyDescent="0.25">
      <c r="A109" t="s">
        <v>102</v>
      </c>
      <c r="B109" t="s">
        <v>135</v>
      </c>
      <c r="C109" t="str">
        <f t="shared" si="9"/>
        <v xml:space="preserve">Benjamín Malbec </v>
      </c>
      <c r="D109">
        <f t="shared" si="10"/>
        <v>1</v>
      </c>
      <c r="E109" t="e">
        <f t="shared" si="11"/>
        <v>#VALUE!</v>
      </c>
      <c r="F109" s="2" t="e">
        <f t="shared" si="12"/>
        <v>#VALUE!</v>
      </c>
    </row>
    <row r="110" spans="1:6" x14ac:dyDescent="0.25">
      <c r="A110" t="s">
        <v>103</v>
      </c>
      <c r="B110" t="s">
        <v>135</v>
      </c>
      <c r="C110" t="str">
        <f t="shared" si="9"/>
        <v xml:space="preserve">Cordero con piel de lobo </v>
      </c>
      <c r="D110">
        <f t="shared" si="10"/>
        <v>1</v>
      </c>
      <c r="E110">
        <f t="shared" si="11"/>
        <v>4000</v>
      </c>
      <c r="F110" s="2">
        <f t="shared" si="12"/>
        <v>4000</v>
      </c>
    </row>
    <row r="111" spans="1:6" x14ac:dyDescent="0.25">
      <c r="B111" t="s">
        <v>135</v>
      </c>
      <c r="C111" t="e">
        <f t="shared" si="9"/>
        <v>#VALUE!</v>
      </c>
      <c r="D111">
        <f t="shared" si="10"/>
        <v>1</v>
      </c>
      <c r="E111" t="e">
        <f t="shared" si="11"/>
        <v>#VALUE!</v>
      </c>
      <c r="F111" s="2" t="e">
        <f t="shared" si="12"/>
        <v>#VALUE!</v>
      </c>
    </row>
    <row r="112" spans="1:6" x14ac:dyDescent="0.25">
      <c r="B112" t="s">
        <v>135</v>
      </c>
      <c r="C112" t="e">
        <f t="shared" si="9"/>
        <v>#VALUE!</v>
      </c>
      <c r="D112">
        <f t="shared" si="10"/>
        <v>1</v>
      </c>
      <c r="E112" t="e">
        <f t="shared" si="11"/>
        <v>#VALUE!</v>
      </c>
      <c r="F112" s="2" t="e">
        <f t="shared" si="12"/>
        <v>#VALUE!</v>
      </c>
    </row>
    <row r="113" spans="1:6" x14ac:dyDescent="0.25">
      <c r="A113" t="s">
        <v>104</v>
      </c>
      <c r="B113" t="s">
        <v>135</v>
      </c>
      <c r="C113" t="e">
        <f t="shared" si="9"/>
        <v>#VALUE!</v>
      </c>
      <c r="D113">
        <f t="shared" si="10"/>
        <v>1</v>
      </c>
      <c r="E113" t="e">
        <f t="shared" si="11"/>
        <v>#VALUE!</v>
      </c>
      <c r="F113" s="2" t="e">
        <f t="shared" si="12"/>
        <v>#VALUE!</v>
      </c>
    </row>
    <row r="114" spans="1:6" x14ac:dyDescent="0.25">
      <c r="A114" t="s">
        <v>105</v>
      </c>
      <c r="B114" t="s">
        <v>135</v>
      </c>
      <c r="C114" t="str">
        <f t="shared" si="9"/>
        <v xml:space="preserve">Cajon Heineken 1litro </v>
      </c>
      <c r="D114">
        <f t="shared" si="10"/>
        <v>1</v>
      </c>
      <c r="E114">
        <f t="shared" si="11"/>
        <v>6500</v>
      </c>
      <c r="F114" s="2">
        <f t="shared" si="12"/>
        <v>6500</v>
      </c>
    </row>
    <row r="115" spans="1:6" x14ac:dyDescent="0.25">
      <c r="A115" t="s">
        <v>106</v>
      </c>
      <c r="B115" t="s">
        <v>135</v>
      </c>
      <c r="C115" t="str">
        <f t="shared" si="9"/>
        <v>Cajón Stella 1litro</v>
      </c>
      <c r="D115">
        <f t="shared" si="10"/>
        <v>1</v>
      </c>
      <c r="E115">
        <f t="shared" si="11"/>
        <v>6400</v>
      </c>
      <c r="F115" s="2">
        <f t="shared" si="12"/>
        <v>6400</v>
      </c>
    </row>
    <row r="116" spans="1:6" x14ac:dyDescent="0.25">
      <c r="A116" t="s">
        <v>107</v>
      </c>
      <c r="B116" t="s">
        <v>135</v>
      </c>
      <c r="C116" t="str">
        <f t="shared" si="9"/>
        <v xml:space="preserve"> Brahma Cajon 1L_</v>
      </c>
      <c r="D116">
        <f t="shared" si="10"/>
        <v>1</v>
      </c>
      <c r="E116">
        <f t="shared" si="11"/>
        <v>4800</v>
      </c>
      <c r="F116" s="2">
        <f t="shared" si="12"/>
        <v>4800</v>
      </c>
    </row>
    <row r="117" spans="1:6" x14ac:dyDescent="0.25">
      <c r="A117" t="s">
        <v>108</v>
      </c>
      <c r="B117" t="s">
        <v>135</v>
      </c>
      <c r="C117" t="str">
        <f t="shared" si="9"/>
        <v xml:space="preserve">_Quilmes Cajon 1L </v>
      </c>
      <c r="D117">
        <f t="shared" si="10"/>
        <v>1</v>
      </c>
      <c r="E117">
        <f t="shared" si="11"/>
        <v>4750</v>
      </c>
      <c r="F117" s="2">
        <f t="shared" si="12"/>
        <v>4750</v>
      </c>
    </row>
    <row r="118" spans="1:6" x14ac:dyDescent="0.25">
      <c r="A118" t="s">
        <v>109</v>
      </c>
      <c r="B118" t="s">
        <v>135</v>
      </c>
      <c r="C118" t="str">
        <f t="shared" si="9"/>
        <v>Cajon Palermo</v>
      </c>
      <c r="D118">
        <f t="shared" si="10"/>
        <v>1</v>
      </c>
      <c r="E118" t="e">
        <f t="shared" si="11"/>
        <v>#VALUE!</v>
      </c>
      <c r="F118" s="2" t="e">
        <f t="shared" si="12"/>
        <v>#VALUE!</v>
      </c>
    </row>
    <row r="119" spans="1:6" x14ac:dyDescent="0.25">
      <c r="A119" t="s">
        <v>110</v>
      </c>
      <c r="B119" t="s">
        <v>135</v>
      </c>
      <c r="C119" t="str">
        <f t="shared" si="9"/>
        <v>Cajón Hanover</v>
      </c>
      <c r="D119">
        <f t="shared" si="10"/>
        <v>1</v>
      </c>
      <c r="E119" t="e">
        <f t="shared" si="11"/>
        <v>#VALUE!</v>
      </c>
      <c r="F119" s="2" t="e">
        <f t="shared" si="12"/>
        <v>#VALUE!</v>
      </c>
    </row>
    <row r="120" spans="1:6" x14ac:dyDescent="0.25">
      <c r="A120" t="s">
        <v>111</v>
      </c>
      <c r="B120" t="s">
        <v>135</v>
      </c>
      <c r="C120" t="str">
        <f t="shared" si="9"/>
        <v>Cajon Isenbeck</v>
      </c>
      <c r="D120">
        <f t="shared" si="10"/>
        <v>1</v>
      </c>
      <c r="E120" t="e">
        <f t="shared" si="11"/>
        <v>#VALUE!</v>
      </c>
      <c r="F120" s="2" t="e">
        <f t="shared" si="12"/>
        <v>#VALUE!</v>
      </c>
    </row>
    <row r="121" spans="1:6" x14ac:dyDescent="0.25">
      <c r="A121" t="s">
        <v>112</v>
      </c>
      <c r="B121" t="s">
        <v>135</v>
      </c>
      <c r="C121" t="str">
        <f t="shared" si="9"/>
        <v>Cajon Santa Fe</v>
      </c>
      <c r="D121">
        <f t="shared" si="10"/>
        <v>1</v>
      </c>
      <c r="E121" t="e">
        <f t="shared" si="11"/>
        <v>#VALUE!</v>
      </c>
      <c r="F121" s="2" t="e">
        <f t="shared" si="12"/>
        <v>#VALUE!</v>
      </c>
    </row>
    <row r="122" spans="1:6" x14ac:dyDescent="0.25">
      <c r="A122" t="s">
        <v>113</v>
      </c>
      <c r="B122" t="s">
        <v>135</v>
      </c>
      <c r="C122" t="str">
        <f t="shared" si="9"/>
        <v>Cajon iguana</v>
      </c>
      <c r="D122">
        <f t="shared" si="10"/>
        <v>1</v>
      </c>
      <c r="E122">
        <f t="shared" si="11"/>
        <v>3700</v>
      </c>
      <c r="F122" s="2">
        <f t="shared" si="12"/>
        <v>3700</v>
      </c>
    </row>
    <row r="123" spans="1:6" x14ac:dyDescent="0.25">
      <c r="A123" t="s">
        <v>114</v>
      </c>
      <c r="B123" t="s">
        <v>135</v>
      </c>
      <c r="C123" t="str">
        <f t="shared" si="9"/>
        <v>Lata brahma 473cc</v>
      </c>
      <c r="D123">
        <f t="shared" si="10"/>
        <v>2</v>
      </c>
      <c r="E123" t="e">
        <f t="shared" si="11"/>
        <v>#VALUE!</v>
      </c>
      <c r="F123" s="2" t="e">
        <f t="shared" si="12"/>
        <v>#VALUE!</v>
      </c>
    </row>
    <row r="124" spans="1:6" x14ac:dyDescent="0.25">
      <c r="A124" s="1">
        <v>4700</v>
      </c>
      <c r="B124" t="s">
        <v>135</v>
      </c>
      <c r="C124" t="e">
        <f t="shared" si="9"/>
        <v>#VALUE!</v>
      </c>
      <c r="D124">
        <f t="shared" si="10"/>
        <v>1</v>
      </c>
      <c r="E124" t="e">
        <f t="shared" si="11"/>
        <v>#VALUE!</v>
      </c>
      <c r="F124" s="2" t="e">
        <f t="shared" si="12"/>
        <v>#VALUE!</v>
      </c>
    </row>
    <row r="125" spans="1:6" x14ac:dyDescent="0.25">
      <c r="A125" t="s">
        <v>115</v>
      </c>
      <c r="B125" t="s">
        <v>135</v>
      </c>
      <c r="C125" t="str">
        <f t="shared" si="9"/>
        <v xml:space="preserve">Lata andes rubia </v>
      </c>
      <c r="D125">
        <f t="shared" si="10"/>
        <v>2</v>
      </c>
      <c r="E125">
        <f t="shared" si="11"/>
        <v>4500</v>
      </c>
      <c r="F125" s="2">
        <f t="shared" si="12"/>
        <v>2250</v>
      </c>
    </row>
    <row r="126" spans="1:6" x14ac:dyDescent="0.25">
      <c r="A126" t="s">
        <v>116</v>
      </c>
      <c r="B126" t="s">
        <v>135</v>
      </c>
      <c r="C126" t="str">
        <f t="shared" si="9"/>
        <v xml:space="preserve">Lata andes ipa </v>
      </c>
      <c r="D126">
        <f t="shared" si="10"/>
        <v>2</v>
      </c>
      <c r="E126">
        <f t="shared" si="11"/>
        <v>4500</v>
      </c>
      <c r="F126" s="2">
        <f t="shared" si="12"/>
        <v>2250</v>
      </c>
    </row>
    <row r="127" spans="1:6" x14ac:dyDescent="0.25">
      <c r="A127" t="s">
        <v>117</v>
      </c>
      <c r="B127" t="s">
        <v>135</v>
      </c>
      <c r="C127" t="str">
        <f t="shared" si="9"/>
        <v xml:space="preserve">Lata andes roja </v>
      </c>
      <c r="D127">
        <f t="shared" si="10"/>
        <v>2</v>
      </c>
      <c r="E127" t="e">
        <f t="shared" si="11"/>
        <v>#VALUE!</v>
      </c>
      <c r="F127" s="2" t="e">
        <f t="shared" si="12"/>
        <v>#VALUE!</v>
      </c>
    </row>
    <row r="128" spans="1:6" x14ac:dyDescent="0.25">
      <c r="A128" t="s">
        <v>118</v>
      </c>
      <c r="B128" t="s">
        <v>135</v>
      </c>
      <c r="C128" t="str">
        <f t="shared" si="9"/>
        <v xml:space="preserve">Lata andes negra </v>
      </c>
      <c r="D128">
        <f t="shared" si="10"/>
        <v>2</v>
      </c>
      <c r="E128" t="e">
        <f t="shared" si="11"/>
        <v>#VALUE!</v>
      </c>
      <c r="F128" s="2" t="e">
        <f t="shared" si="12"/>
        <v>#VALUE!</v>
      </c>
    </row>
    <row r="129" spans="1:6" x14ac:dyDescent="0.25">
      <c r="A129" t="s">
        <v>119</v>
      </c>
      <c r="B129" t="s">
        <v>135</v>
      </c>
      <c r="C129" t="str">
        <f t="shared" si="9"/>
        <v xml:space="preserve">Lata andes fresquita </v>
      </c>
      <c r="D129">
        <f t="shared" si="10"/>
        <v>2</v>
      </c>
      <c r="E129" t="e">
        <f t="shared" si="11"/>
        <v>#VALUE!</v>
      </c>
      <c r="F129" s="2" t="e">
        <f t="shared" si="12"/>
        <v>#VALUE!</v>
      </c>
    </row>
    <row r="130" spans="1:6" x14ac:dyDescent="0.25">
      <c r="A130" t="s">
        <v>120</v>
      </c>
      <c r="B130" t="s">
        <v>135</v>
      </c>
      <c r="C130" t="str">
        <f t="shared" si="9"/>
        <v xml:space="preserve"> Lata Isenbeck </v>
      </c>
      <c r="D130">
        <f t="shared" si="10"/>
        <v>2</v>
      </c>
      <c r="E130" t="e">
        <f t="shared" si="11"/>
        <v>#VALUE!</v>
      </c>
      <c r="F130" s="2" t="e">
        <f t="shared" si="12"/>
        <v>#VALUE!</v>
      </c>
    </row>
    <row r="131" spans="1:6" x14ac:dyDescent="0.25">
      <c r="A131" t="s">
        <v>121</v>
      </c>
      <c r="B131" t="s">
        <v>135</v>
      </c>
      <c r="C131" t="str">
        <f t="shared" si="9"/>
        <v xml:space="preserve">Lata Heineken ×24 </v>
      </c>
      <c r="D131">
        <f t="shared" si="10"/>
        <v>1</v>
      </c>
      <c r="E131">
        <f t="shared" si="11"/>
        <v>5900</v>
      </c>
      <c r="F131" s="2">
        <f t="shared" si="12"/>
        <v>5900</v>
      </c>
    </row>
    <row r="132" spans="1:6" x14ac:dyDescent="0.25">
      <c r="A132" t="s">
        <v>122</v>
      </c>
      <c r="B132" t="s">
        <v>135</v>
      </c>
      <c r="C132" t="str">
        <f t="shared" si="9"/>
        <v xml:space="preserve">Lata Schneider </v>
      </c>
      <c r="D132">
        <f t="shared" si="10"/>
        <v>2</v>
      </c>
      <c r="E132">
        <f t="shared" si="11"/>
        <v>4500</v>
      </c>
      <c r="F132" s="2">
        <f t="shared" si="12"/>
        <v>2250</v>
      </c>
    </row>
    <row r="133" spans="1:6" x14ac:dyDescent="0.25">
      <c r="A133" t="s">
        <v>123</v>
      </c>
      <c r="B133" t="s">
        <v>135</v>
      </c>
      <c r="C133" t="str">
        <f t="shared" si="9"/>
        <v xml:space="preserve">Corona 710cc </v>
      </c>
      <c r="D133">
        <f t="shared" si="10"/>
        <v>1</v>
      </c>
      <c r="E133">
        <f t="shared" si="11"/>
        <v>6000</v>
      </c>
      <c r="F133" s="2">
        <f t="shared" si="12"/>
        <v>6000</v>
      </c>
    </row>
    <row r="134" spans="1:6" x14ac:dyDescent="0.25">
      <c r="A134" t="s">
        <v>124</v>
      </c>
      <c r="B134" t="s">
        <v>135</v>
      </c>
      <c r="C134" t="str">
        <f t="shared" ref="C134:C145" si="13">IFERROR( MID(A134,1,FIND("x",A134,1) - 1), MID(A134,1,FIND("$",A134,1) - 1))</f>
        <v xml:space="preserve">Lata Heineken 710 ×24 </v>
      </c>
      <c r="D134">
        <f t="shared" si="10"/>
        <v>1</v>
      </c>
      <c r="E134">
        <f t="shared" si="11"/>
        <v>10800</v>
      </c>
      <c r="F134" s="2">
        <f t="shared" si="12"/>
        <v>10800</v>
      </c>
    </row>
    <row r="135" spans="1:6" x14ac:dyDescent="0.25">
      <c r="A135" t="s">
        <v>125</v>
      </c>
      <c r="B135" t="s">
        <v>135</v>
      </c>
      <c r="C135" t="str">
        <f t="shared" si="13"/>
        <v xml:space="preserve">Porrón corona </v>
      </c>
      <c r="D135">
        <f t="shared" si="10"/>
        <v>6</v>
      </c>
      <c r="E135" t="e">
        <f t="shared" si="11"/>
        <v>#VALUE!</v>
      </c>
      <c r="F135" s="2" t="e">
        <f t="shared" si="12"/>
        <v>#VALUE!</v>
      </c>
    </row>
    <row r="136" spans="1:6" x14ac:dyDescent="0.25">
      <c r="A136" t="s">
        <v>126</v>
      </c>
      <c r="B136" t="s">
        <v>135</v>
      </c>
      <c r="C136" t="str">
        <f t="shared" si="13"/>
        <v xml:space="preserve">Lata Quilmes </v>
      </c>
      <c r="D136">
        <f t="shared" si="10"/>
        <v>2</v>
      </c>
      <c r="E136">
        <f t="shared" si="11"/>
        <v>4300</v>
      </c>
      <c r="F136" s="2">
        <f t="shared" si="12"/>
        <v>2150</v>
      </c>
    </row>
    <row r="137" spans="1:6" x14ac:dyDescent="0.25">
      <c r="A137" t="s">
        <v>127</v>
      </c>
      <c r="B137" t="s">
        <v>135</v>
      </c>
      <c r="C137" t="str">
        <f t="shared" si="13"/>
        <v xml:space="preserve">Lata Wasteiner </v>
      </c>
      <c r="D137">
        <f t="shared" si="10"/>
        <v>2</v>
      </c>
      <c r="E137" t="e">
        <f t="shared" si="11"/>
        <v>#VALUE!</v>
      </c>
      <c r="F137" s="2" t="e">
        <f t="shared" si="12"/>
        <v>#VALUE!</v>
      </c>
    </row>
    <row r="138" spans="1:6" x14ac:dyDescent="0.25">
      <c r="A138" t="s">
        <v>128</v>
      </c>
      <c r="B138" t="s">
        <v>135</v>
      </c>
      <c r="C138" t="str">
        <f t="shared" si="13"/>
        <v>Lata schneider 710</v>
      </c>
      <c r="D138">
        <f t="shared" si="10"/>
        <v>2</v>
      </c>
      <c r="E138">
        <f t="shared" si="11"/>
        <v>8200</v>
      </c>
      <c r="F138" s="2">
        <f t="shared" si="12"/>
        <v>4100</v>
      </c>
    </row>
    <row r="139" spans="1:6" x14ac:dyDescent="0.25">
      <c r="A139" t="s">
        <v>129</v>
      </c>
      <c r="B139" t="s">
        <v>135</v>
      </c>
      <c r="C139" t="str">
        <f t="shared" si="13"/>
        <v xml:space="preserve">Lata Stella </v>
      </c>
      <c r="D139">
        <f t="shared" si="10"/>
        <v>2</v>
      </c>
      <c r="E139" t="e">
        <f t="shared" si="11"/>
        <v>#VALUE!</v>
      </c>
      <c r="F139" s="2" t="e">
        <f t="shared" si="12"/>
        <v>#VALUE!</v>
      </c>
    </row>
    <row r="140" spans="1:6" x14ac:dyDescent="0.25">
      <c r="A140" t="s">
        <v>130</v>
      </c>
      <c r="B140" t="s">
        <v>135</v>
      </c>
      <c r="C140" t="str">
        <f t="shared" si="13"/>
        <v xml:space="preserve">Lata Santa Fe </v>
      </c>
      <c r="D140">
        <f t="shared" si="10"/>
        <v>2</v>
      </c>
      <c r="E140">
        <f t="shared" si="11"/>
        <v>4400</v>
      </c>
      <c r="F140" s="2">
        <f t="shared" si="12"/>
        <v>2200</v>
      </c>
    </row>
    <row r="141" spans="1:6" x14ac:dyDescent="0.25">
      <c r="B141" t="s">
        <v>135</v>
      </c>
      <c r="C141" t="e">
        <f t="shared" si="13"/>
        <v>#VALUE!</v>
      </c>
      <c r="D141">
        <f t="shared" si="10"/>
        <v>1</v>
      </c>
      <c r="E141" t="e">
        <f t="shared" si="11"/>
        <v>#VALUE!</v>
      </c>
      <c r="F141" s="2" t="e">
        <f t="shared" si="12"/>
        <v>#VALUE!</v>
      </c>
    </row>
    <row r="142" spans="1:6" x14ac:dyDescent="0.25">
      <c r="A142" t="s">
        <v>131</v>
      </c>
      <c r="B142" t="s">
        <v>135</v>
      </c>
      <c r="C142" t="e">
        <f t="shared" si="13"/>
        <v>#VALUE!</v>
      </c>
      <c r="D142">
        <f t="shared" si="10"/>
        <v>1</v>
      </c>
      <c r="E142" t="e">
        <f t="shared" si="11"/>
        <v>#VALUE!</v>
      </c>
      <c r="F142" s="2" t="e">
        <f t="shared" si="12"/>
        <v>#VALUE!</v>
      </c>
    </row>
    <row r="143" spans="1:6" x14ac:dyDescent="0.25">
      <c r="A143" t="s">
        <v>132</v>
      </c>
      <c r="B143" t="s">
        <v>135</v>
      </c>
      <c r="C143" t="str">
        <f t="shared" si="13"/>
        <v xml:space="preserve"> •Red Point Atado </v>
      </c>
      <c r="D143">
        <f t="shared" si="10"/>
        <v>1</v>
      </c>
      <c r="E143">
        <f t="shared" si="11"/>
        <v>2000</v>
      </c>
      <c r="F143" s="2">
        <f t="shared" si="12"/>
        <v>2000</v>
      </c>
    </row>
    <row r="144" spans="1:6" x14ac:dyDescent="0.25">
      <c r="A144" t="s">
        <v>133</v>
      </c>
      <c r="B144" t="s">
        <v>135</v>
      </c>
      <c r="C144" t="str">
        <f t="shared" si="13"/>
        <v xml:space="preserve"> •Master  Atado </v>
      </c>
      <c r="D144">
        <f t="shared" si="10"/>
        <v>1</v>
      </c>
      <c r="E144">
        <f t="shared" si="11"/>
        <v>1780</v>
      </c>
      <c r="F144" s="2">
        <f t="shared" si="12"/>
        <v>1780</v>
      </c>
    </row>
    <row r="145" spans="1:6" x14ac:dyDescent="0.25">
      <c r="A145" t="s">
        <v>134</v>
      </c>
      <c r="B145" t="s">
        <v>135</v>
      </c>
      <c r="C145" t="str">
        <f t="shared" si="13"/>
        <v xml:space="preserve">•Dolchester Atado </v>
      </c>
      <c r="D145">
        <f t="shared" si="10"/>
        <v>1</v>
      </c>
      <c r="E145">
        <f t="shared" si="11"/>
        <v>1900</v>
      </c>
      <c r="F145" s="2">
        <f t="shared" si="12"/>
        <v>1900</v>
      </c>
    </row>
  </sheetData>
  <autoFilter ref="A3:F145" xr:uid="{5744EEC2-A914-4776-A1CD-F1F350336FA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Bressan</dc:creator>
  <cp:lastModifiedBy>Paula Bressan</cp:lastModifiedBy>
  <dcterms:created xsi:type="dcterms:W3CDTF">2023-01-24T16:33:49Z</dcterms:created>
  <dcterms:modified xsi:type="dcterms:W3CDTF">2023-01-24T17:10:01Z</dcterms:modified>
</cp:coreProperties>
</file>